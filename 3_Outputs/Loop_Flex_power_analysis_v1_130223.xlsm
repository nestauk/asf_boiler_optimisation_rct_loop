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li.berry\Documents\GitHub\asf_boiler_optimisation_rct_loop\3_Outputs\"/>
    </mc:Choice>
  </mc:AlternateContent>
  <xr:revisionPtr revIDLastSave="0" documentId="13_ncr:40009_{4693FE08-828A-4586-B77E-6481B4463CB0}" xr6:coauthVersionLast="47" xr6:coauthVersionMax="47" xr10:uidLastSave="{00000000-0000-0000-0000-000000000000}"/>
  <bookViews>
    <workbookView xWindow="-75" yWindow="-16320" windowWidth="29040" windowHeight="15840"/>
  </bookViews>
  <sheets>
    <sheet name="++Output++" sheetId="3" r:id="rId1"/>
    <sheet name="Analysis" sheetId="2" r:id="rId2"/>
    <sheet name="Data" sheetId="1" r:id="rId3"/>
  </sheets>
  <definedNames>
    <definedName name="_xlnm._FilterDatabase" localSheetId="1" hidden="1">Analysis!$A$2:$Q$83</definedName>
  </definedNames>
  <calcPr calcId="0"/>
</workbook>
</file>

<file path=xl/calcChain.xml><?xml version="1.0" encoding="utf-8"?>
<calcChain xmlns="http://schemas.openxmlformats.org/spreadsheetml/2006/main">
  <c r="C6" i="3" l="1"/>
  <c r="I6" i="3" s="1"/>
  <c r="C5" i="3"/>
  <c r="I5" i="3" s="1"/>
  <c r="C4" i="3"/>
  <c r="I4" i="3" s="1"/>
  <c r="C3" i="3"/>
  <c r="E3" i="3" s="1"/>
  <c r="B6" i="3"/>
  <c r="H6" i="3" s="1"/>
  <c r="B5" i="3"/>
  <c r="H5" i="3" s="1"/>
  <c r="B4" i="3"/>
  <c r="F4" i="3" s="1"/>
  <c r="B3" i="3"/>
  <c r="H3" i="3" s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M83" i="2"/>
  <c r="M74" i="2"/>
  <c r="M69" i="2"/>
  <c r="M66" i="2"/>
  <c r="M56" i="2"/>
  <c r="M47" i="2"/>
  <c r="M42" i="2"/>
  <c r="M39" i="2"/>
  <c r="M29" i="2"/>
  <c r="M20" i="2"/>
  <c r="M15" i="2"/>
  <c r="M12" i="2"/>
  <c r="P82" i="2"/>
  <c r="P81" i="2"/>
  <c r="P80" i="2"/>
  <c r="P79" i="2"/>
  <c r="P78" i="2"/>
  <c r="P77" i="2"/>
  <c r="P76" i="2"/>
  <c r="P75" i="2"/>
  <c r="P73" i="2"/>
  <c r="P72" i="2"/>
  <c r="P71" i="2"/>
  <c r="P70" i="2"/>
  <c r="P68" i="2"/>
  <c r="P67" i="2"/>
  <c r="P65" i="2"/>
  <c r="P64" i="2"/>
  <c r="P63" i="2"/>
  <c r="P62" i="2"/>
  <c r="P61" i="2"/>
  <c r="P60" i="2"/>
  <c r="P59" i="2"/>
  <c r="P58" i="2"/>
  <c r="P57" i="2"/>
  <c r="P55" i="2"/>
  <c r="P54" i="2"/>
  <c r="P53" i="2"/>
  <c r="P52" i="2"/>
  <c r="P51" i="2"/>
  <c r="P50" i="2"/>
  <c r="P49" i="2"/>
  <c r="P48" i="2"/>
  <c r="P46" i="2"/>
  <c r="P45" i="2"/>
  <c r="P44" i="2"/>
  <c r="P43" i="2"/>
  <c r="P41" i="2"/>
  <c r="P40" i="2"/>
  <c r="P38" i="2"/>
  <c r="P37" i="2"/>
  <c r="P36" i="2"/>
  <c r="P35" i="2"/>
  <c r="P34" i="2"/>
  <c r="P33" i="2"/>
  <c r="P32" i="2"/>
  <c r="P31" i="2"/>
  <c r="P30" i="2"/>
  <c r="P28" i="2"/>
  <c r="P27" i="2"/>
  <c r="P26" i="2"/>
  <c r="P25" i="2"/>
  <c r="P24" i="2"/>
  <c r="P23" i="2"/>
  <c r="P22" i="2"/>
  <c r="P21" i="2"/>
  <c r="P19" i="2"/>
  <c r="P18" i="2"/>
  <c r="P17" i="2"/>
  <c r="P16" i="2"/>
  <c r="P14" i="2"/>
  <c r="P13" i="2"/>
  <c r="P11" i="2"/>
  <c r="P10" i="2"/>
  <c r="P9" i="2"/>
  <c r="P8" i="2"/>
  <c r="P7" i="2"/>
  <c r="P6" i="2"/>
  <c r="P5" i="2"/>
  <c r="P4" i="2"/>
  <c r="P3" i="2"/>
  <c r="D6" i="3" l="1"/>
  <c r="E6" i="3"/>
  <c r="F6" i="3"/>
  <c r="G6" i="3"/>
  <c r="G4" i="3"/>
  <c r="G5" i="3"/>
  <c r="D5" i="3"/>
  <c r="F5" i="3"/>
  <c r="E5" i="3"/>
  <c r="E4" i="3"/>
  <c r="D4" i="3"/>
  <c r="H4" i="3"/>
  <c r="D3" i="3"/>
  <c r="F3" i="3"/>
  <c r="G3" i="3"/>
  <c r="I3" i="3"/>
  <c r="O83" i="2"/>
  <c r="P83" i="2" s="1"/>
  <c r="Q83" i="2" s="1"/>
  <c r="O82" i="2"/>
  <c r="O81" i="2"/>
  <c r="O80" i="2"/>
  <c r="O79" i="2"/>
  <c r="O78" i="2"/>
  <c r="O77" i="2"/>
  <c r="O76" i="2"/>
  <c r="O75" i="2"/>
  <c r="O74" i="2"/>
  <c r="P74" i="2" s="1"/>
  <c r="Q74" i="2" s="1"/>
  <c r="O73" i="2"/>
  <c r="O72" i="2"/>
  <c r="O71" i="2"/>
  <c r="O70" i="2"/>
  <c r="O69" i="2"/>
  <c r="P69" i="2" s="1"/>
  <c r="Q69" i="2" s="1"/>
  <c r="O68" i="2"/>
  <c r="O67" i="2"/>
  <c r="O66" i="2"/>
  <c r="P66" i="2" s="1"/>
  <c r="Q66" i="2" s="1"/>
  <c r="O65" i="2"/>
  <c r="O64" i="2"/>
  <c r="O63" i="2"/>
  <c r="O62" i="2"/>
  <c r="O61" i="2"/>
  <c r="O60" i="2"/>
  <c r="O59" i="2"/>
  <c r="O58" i="2"/>
  <c r="O57" i="2"/>
  <c r="O56" i="2"/>
  <c r="P56" i="2" s="1"/>
  <c r="Q56" i="2" s="1"/>
  <c r="O55" i="2"/>
  <c r="O54" i="2"/>
  <c r="O53" i="2"/>
  <c r="O52" i="2"/>
  <c r="O51" i="2"/>
  <c r="O50" i="2"/>
  <c r="O49" i="2"/>
  <c r="O48" i="2"/>
  <c r="O47" i="2"/>
  <c r="P47" i="2" s="1"/>
  <c r="Q47" i="2" s="1"/>
  <c r="O46" i="2"/>
  <c r="O45" i="2"/>
  <c r="O44" i="2"/>
  <c r="O43" i="2"/>
  <c r="O42" i="2"/>
  <c r="P42" i="2" s="1"/>
  <c r="Q42" i="2" s="1"/>
  <c r="O41" i="2"/>
  <c r="O40" i="2"/>
  <c r="O39" i="2"/>
  <c r="P39" i="2" s="1"/>
  <c r="Q39" i="2" s="1"/>
  <c r="O38" i="2"/>
  <c r="O37" i="2"/>
  <c r="O36" i="2"/>
  <c r="O35" i="2"/>
  <c r="O34" i="2"/>
  <c r="O33" i="2"/>
  <c r="O32" i="2"/>
  <c r="O31" i="2"/>
  <c r="O30" i="2"/>
  <c r="O29" i="2"/>
  <c r="P29" i="2" s="1"/>
  <c r="O28" i="2"/>
  <c r="O27" i="2"/>
  <c r="O26" i="2"/>
  <c r="O25" i="2"/>
  <c r="O24" i="2"/>
  <c r="O23" i="2"/>
  <c r="O22" i="2"/>
  <c r="O21" i="2"/>
  <c r="O20" i="2"/>
  <c r="P20" i="2" s="1"/>
  <c r="O19" i="2"/>
  <c r="O18" i="2"/>
  <c r="O17" i="2"/>
  <c r="O16" i="2"/>
  <c r="O15" i="2"/>
  <c r="P15" i="2" s="1"/>
  <c r="O14" i="2"/>
  <c r="O13" i="2"/>
  <c r="O12" i="2"/>
  <c r="P12" i="2" s="1"/>
  <c r="O11" i="2"/>
  <c r="O10" i="2"/>
  <c r="O9" i="2"/>
  <c r="O8" i="2"/>
  <c r="O7" i="2"/>
  <c r="O6" i="2"/>
  <c r="O5" i="2"/>
  <c r="O4" i="2"/>
  <c r="O3" i="2"/>
  <c r="D28" i="2" l="1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D29" i="2"/>
  <c r="Q29" i="2" s="1"/>
  <c r="D27" i="2"/>
  <c r="D26" i="2"/>
  <c r="D25" i="2"/>
  <c r="D24" i="2"/>
  <c r="D23" i="2"/>
  <c r="D22" i="2"/>
  <c r="D21" i="2"/>
  <c r="D20" i="2"/>
  <c r="Q20" i="2" s="1"/>
  <c r="D19" i="2"/>
  <c r="D18" i="2"/>
  <c r="D17" i="2"/>
  <c r="D16" i="2"/>
  <c r="D15" i="2"/>
  <c r="Q15" i="2" s="1"/>
  <c r="D14" i="2"/>
  <c r="D13" i="2"/>
  <c r="D12" i="2"/>
  <c r="Q12" i="2" s="1"/>
  <c r="D11" i="2"/>
  <c r="D10" i="2"/>
  <c r="D9" i="2"/>
  <c r="D8" i="2"/>
  <c r="D7" i="2"/>
  <c r="D6" i="2"/>
  <c r="D5" i="2"/>
  <c r="D4" i="2"/>
  <c r="D3" i="2"/>
  <c r="F27" i="2" l="1"/>
  <c r="I27" i="2" s="1"/>
  <c r="J27" i="2" s="1"/>
  <c r="K27" i="2" s="1"/>
  <c r="F4" i="2"/>
  <c r="I4" i="2" s="1"/>
  <c r="J4" i="2" s="1"/>
  <c r="K4" i="2" s="1"/>
  <c r="F12" i="2"/>
  <c r="I12" i="2" s="1"/>
  <c r="J12" i="2" s="1"/>
  <c r="K12" i="2" s="1"/>
  <c r="F20" i="2"/>
  <c r="I20" i="2" s="1"/>
  <c r="J20" i="2" s="1"/>
  <c r="K20" i="2" s="1"/>
  <c r="F28" i="2"/>
  <c r="I28" i="2" s="1"/>
  <c r="J28" i="2" s="1"/>
  <c r="K28" i="2" s="1"/>
  <c r="F33" i="2"/>
  <c r="F41" i="2"/>
  <c r="F30" i="2"/>
  <c r="F70" i="2"/>
  <c r="F78" i="2"/>
  <c r="F80" i="2"/>
  <c r="F53" i="2"/>
  <c r="F66" i="2"/>
  <c r="F45" i="2"/>
  <c r="F58" i="2"/>
  <c r="F6" i="2"/>
  <c r="I6" i="2" s="1"/>
  <c r="J6" i="2" s="1"/>
  <c r="K6" i="2" s="1"/>
  <c r="F3" i="2"/>
  <c r="F14" i="2"/>
  <c r="I14" i="2" s="1"/>
  <c r="J14" i="2" s="1"/>
  <c r="K14" i="2" s="1"/>
  <c r="F22" i="2"/>
  <c r="I22" i="2" s="1"/>
  <c r="J22" i="2" s="1"/>
  <c r="K22" i="2" s="1"/>
  <c r="F35" i="2"/>
  <c r="F9" i="2"/>
  <c r="I9" i="2" s="1"/>
  <c r="J9" i="2" s="1"/>
  <c r="K9" i="2" s="1"/>
  <c r="F17" i="2"/>
  <c r="I17" i="2" s="1"/>
  <c r="J17" i="2" s="1"/>
  <c r="K17" i="2" s="1"/>
  <c r="F25" i="2"/>
  <c r="I25" i="2" s="1"/>
  <c r="J25" i="2" s="1"/>
  <c r="K25" i="2" s="1"/>
  <c r="F18" i="2"/>
  <c r="I18" i="2" s="1"/>
  <c r="J18" i="2" s="1"/>
  <c r="K18" i="2" s="1"/>
  <c r="F43" i="2"/>
  <c r="F67" i="2"/>
  <c r="F62" i="2"/>
  <c r="F63" i="2"/>
  <c r="F13" i="2"/>
  <c r="I13" i="2" s="1"/>
  <c r="J13" i="2" s="1"/>
  <c r="K13" i="2" s="1"/>
  <c r="F42" i="2"/>
  <c r="I42" i="2" s="1"/>
  <c r="F79" i="2"/>
  <c r="F64" i="2"/>
  <c r="F72" i="2"/>
  <c r="F59" i="2"/>
  <c r="F50" i="2"/>
  <c r="F21" i="2"/>
  <c r="I21" i="2" s="1"/>
  <c r="J21" i="2" s="1"/>
  <c r="K21" i="2" s="1"/>
  <c r="F34" i="2"/>
  <c r="F51" i="2"/>
  <c r="F7" i="2"/>
  <c r="I7" i="2" s="1"/>
  <c r="J7" i="2" s="1"/>
  <c r="K7" i="2" s="1"/>
  <c r="F15" i="2"/>
  <c r="I15" i="2" s="1"/>
  <c r="J15" i="2" s="1"/>
  <c r="K15" i="2" s="1"/>
  <c r="F23" i="2"/>
  <c r="I23" i="2" s="1"/>
  <c r="J23" i="2" s="1"/>
  <c r="K23" i="2" s="1"/>
  <c r="F36" i="2"/>
  <c r="F44" i="2"/>
  <c r="F52" i="2"/>
  <c r="F65" i="2"/>
  <c r="F81" i="2"/>
  <c r="F46" i="2"/>
  <c r="F49" i="2"/>
  <c r="F57" i="2"/>
  <c r="F5" i="2"/>
  <c r="I5" i="2" s="1"/>
  <c r="J5" i="2" s="1"/>
  <c r="K5" i="2" s="1"/>
  <c r="F29" i="2"/>
  <c r="I29" i="2" s="1"/>
  <c r="J29" i="2" s="1"/>
  <c r="K29" i="2" s="1"/>
  <c r="F71" i="2"/>
  <c r="F8" i="2"/>
  <c r="I8" i="2" s="1"/>
  <c r="J8" i="2" s="1"/>
  <c r="K8" i="2" s="1"/>
  <c r="F16" i="2"/>
  <c r="I16" i="2" s="1"/>
  <c r="J16" i="2" s="1"/>
  <c r="K16" i="2" s="1"/>
  <c r="F24" i="2"/>
  <c r="I24" i="2" s="1"/>
  <c r="J24" i="2" s="1"/>
  <c r="K24" i="2" s="1"/>
  <c r="F37" i="2"/>
  <c r="F82" i="2"/>
  <c r="F39" i="2"/>
  <c r="F73" i="2"/>
  <c r="F54" i="2"/>
  <c r="F26" i="2"/>
  <c r="I26" i="2" s="1"/>
  <c r="J26" i="2" s="1"/>
  <c r="K26" i="2" s="1"/>
  <c r="F38" i="2"/>
  <c r="F75" i="2"/>
  <c r="F74" i="2"/>
  <c r="F31" i="2"/>
  <c r="F55" i="2"/>
  <c r="F60" i="2"/>
  <c r="F68" i="2"/>
  <c r="F76" i="2"/>
  <c r="F10" i="2"/>
  <c r="I10" i="2" s="1"/>
  <c r="J10" i="2" s="1"/>
  <c r="K10" i="2" s="1"/>
  <c r="F47" i="2"/>
  <c r="F11" i="2"/>
  <c r="I11" i="2" s="1"/>
  <c r="J11" i="2" s="1"/>
  <c r="K11" i="2" s="1"/>
  <c r="F19" i="2"/>
  <c r="I19" i="2" s="1"/>
  <c r="J19" i="2" s="1"/>
  <c r="K19" i="2" s="1"/>
  <c r="F32" i="2"/>
  <c r="F40" i="2"/>
  <c r="F48" i="2"/>
  <c r="F56" i="2"/>
  <c r="F61" i="2"/>
  <c r="F69" i="2"/>
  <c r="F77" i="2"/>
  <c r="F83" i="2"/>
  <c r="G79" i="2" l="1"/>
  <c r="H79" i="2" s="1"/>
  <c r="I79" i="2"/>
  <c r="J79" i="2" s="1"/>
  <c r="K79" i="2" s="1"/>
  <c r="G58" i="2"/>
  <c r="H58" i="2" s="1"/>
  <c r="I58" i="2"/>
  <c r="J58" i="2" s="1"/>
  <c r="K58" i="2" s="1"/>
  <c r="G41" i="2"/>
  <c r="H41" i="2" s="1"/>
  <c r="I41" i="2"/>
  <c r="J41" i="2" s="1"/>
  <c r="K41" i="2" s="1"/>
  <c r="G54" i="2"/>
  <c r="H54" i="2" s="1"/>
  <c r="I54" i="2"/>
  <c r="J54" i="2" s="1"/>
  <c r="K54" i="2" s="1"/>
  <c r="G71" i="2"/>
  <c r="H71" i="2" s="1"/>
  <c r="I71" i="2"/>
  <c r="J71" i="2" s="1"/>
  <c r="K71" i="2" s="1"/>
  <c r="G52" i="2"/>
  <c r="H52" i="2" s="1"/>
  <c r="I52" i="2"/>
  <c r="J52" i="2" s="1"/>
  <c r="K52" i="2" s="1"/>
  <c r="G63" i="2"/>
  <c r="H63" i="2" s="1"/>
  <c r="I63" i="2"/>
  <c r="J63" i="2" s="1"/>
  <c r="K63" i="2" s="1"/>
  <c r="G35" i="2"/>
  <c r="H35" i="2" s="1"/>
  <c r="I35" i="2"/>
  <c r="J35" i="2" s="1"/>
  <c r="K35" i="2" s="1"/>
  <c r="G53" i="2"/>
  <c r="H53" i="2" s="1"/>
  <c r="I53" i="2"/>
  <c r="J53" i="2" s="1"/>
  <c r="K53" i="2" s="1"/>
  <c r="G37" i="2"/>
  <c r="H37" i="2" s="1"/>
  <c r="I37" i="2"/>
  <c r="J37" i="2" s="1"/>
  <c r="K37" i="2" s="1"/>
  <c r="G69" i="2"/>
  <c r="H69" i="2" s="1"/>
  <c r="I69" i="2"/>
  <c r="J69" i="2" s="1"/>
  <c r="K69" i="2" s="1"/>
  <c r="G61" i="2"/>
  <c r="H61" i="2" s="1"/>
  <c r="I61" i="2"/>
  <c r="J61" i="2" s="1"/>
  <c r="K61" i="2" s="1"/>
  <c r="G42" i="2"/>
  <c r="H42" i="2" s="1"/>
  <c r="J42" i="2"/>
  <c r="K42" i="2" s="1"/>
  <c r="G56" i="2"/>
  <c r="H56" i="2" s="1"/>
  <c r="I56" i="2"/>
  <c r="J56" i="2" s="1"/>
  <c r="K56" i="2" s="1"/>
  <c r="G65" i="2"/>
  <c r="H65" i="2" s="1"/>
  <c r="I65" i="2"/>
  <c r="J65" i="2" s="1"/>
  <c r="K65" i="2" s="1"/>
  <c r="G66" i="2"/>
  <c r="H66" i="2" s="1"/>
  <c r="I66" i="2"/>
  <c r="J66" i="2" s="1"/>
  <c r="K66" i="2" s="1"/>
  <c r="G48" i="2"/>
  <c r="H48" i="2" s="1"/>
  <c r="I48" i="2"/>
  <c r="J48" i="2" s="1"/>
  <c r="K48" i="2" s="1"/>
  <c r="G40" i="2"/>
  <c r="H40" i="2" s="1"/>
  <c r="I40" i="2"/>
  <c r="J40" i="2" s="1"/>
  <c r="K40" i="2" s="1"/>
  <c r="G60" i="2"/>
  <c r="H60" i="2" s="1"/>
  <c r="I60" i="2"/>
  <c r="J60" i="2" s="1"/>
  <c r="K60" i="2" s="1"/>
  <c r="G73" i="2"/>
  <c r="H73" i="2" s="1"/>
  <c r="I73" i="2"/>
  <c r="J73" i="2" s="1"/>
  <c r="K73" i="2" s="1"/>
  <c r="G44" i="2"/>
  <c r="H44" i="2" s="1"/>
  <c r="I44" i="2"/>
  <c r="J44" i="2" s="1"/>
  <c r="K44" i="2" s="1"/>
  <c r="G50" i="2"/>
  <c r="H50" i="2" s="1"/>
  <c r="I50" i="2"/>
  <c r="J50" i="2" s="1"/>
  <c r="K50" i="2" s="1"/>
  <c r="G62" i="2"/>
  <c r="H62" i="2" s="1"/>
  <c r="I62" i="2"/>
  <c r="J62" i="2" s="1"/>
  <c r="K62" i="2" s="1"/>
  <c r="G80" i="2"/>
  <c r="H80" i="2" s="1"/>
  <c r="I80" i="2"/>
  <c r="J80" i="2" s="1"/>
  <c r="K80" i="2" s="1"/>
  <c r="G49" i="2"/>
  <c r="H49" i="2" s="1"/>
  <c r="I49" i="2"/>
  <c r="J49" i="2" s="1"/>
  <c r="K49" i="2" s="1"/>
  <c r="G47" i="2"/>
  <c r="H47" i="2" s="1"/>
  <c r="I47" i="2"/>
  <c r="J47" i="2" s="1"/>
  <c r="K47" i="2" s="1"/>
  <c r="G46" i="2"/>
  <c r="H46" i="2" s="1"/>
  <c r="I46" i="2"/>
  <c r="J46" i="2" s="1"/>
  <c r="K46" i="2" s="1"/>
  <c r="G38" i="2"/>
  <c r="H38" i="2" s="1"/>
  <c r="I38" i="2"/>
  <c r="J38" i="2" s="1"/>
  <c r="K38" i="2" s="1"/>
  <c r="G81" i="2"/>
  <c r="H81" i="2" s="1"/>
  <c r="I81" i="2"/>
  <c r="J81" i="2" s="1"/>
  <c r="K81" i="2" s="1"/>
  <c r="G33" i="2"/>
  <c r="H33" i="2" s="1"/>
  <c r="I33" i="2"/>
  <c r="J33" i="2" s="1"/>
  <c r="K33" i="2" s="1"/>
  <c r="G34" i="2"/>
  <c r="H34" i="2" s="1"/>
  <c r="I34" i="2"/>
  <c r="J34" i="2" s="1"/>
  <c r="K34" i="2" s="1"/>
  <c r="G68" i="2"/>
  <c r="H68" i="2" s="1"/>
  <c r="I68" i="2"/>
  <c r="J68" i="2" s="1"/>
  <c r="K68" i="2" s="1"/>
  <c r="G32" i="2"/>
  <c r="H32" i="2" s="1"/>
  <c r="I32" i="2"/>
  <c r="J32" i="2" s="1"/>
  <c r="K32" i="2" s="1"/>
  <c r="G55" i="2"/>
  <c r="H55" i="2" s="1"/>
  <c r="I55" i="2"/>
  <c r="J55" i="2" s="1"/>
  <c r="K55" i="2" s="1"/>
  <c r="G39" i="2"/>
  <c r="H39" i="2" s="1"/>
  <c r="I39" i="2"/>
  <c r="J39" i="2" s="1"/>
  <c r="K39" i="2" s="1"/>
  <c r="G36" i="2"/>
  <c r="H36" i="2" s="1"/>
  <c r="I36" i="2"/>
  <c r="J36" i="2" s="1"/>
  <c r="K36" i="2" s="1"/>
  <c r="G59" i="2"/>
  <c r="H59" i="2" s="1"/>
  <c r="I59" i="2"/>
  <c r="J59" i="2" s="1"/>
  <c r="K59" i="2" s="1"/>
  <c r="G67" i="2"/>
  <c r="H67" i="2" s="1"/>
  <c r="I67" i="2"/>
  <c r="J67" i="2" s="1"/>
  <c r="K67" i="2" s="1"/>
  <c r="G78" i="2"/>
  <c r="H78" i="2" s="1"/>
  <c r="I78" i="2"/>
  <c r="J78" i="2" s="1"/>
  <c r="K78" i="2" s="1"/>
  <c r="G77" i="2"/>
  <c r="H77" i="2" s="1"/>
  <c r="I77" i="2"/>
  <c r="J77" i="2" s="1"/>
  <c r="K77" i="2" s="1"/>
  <c r="G74" i="2"/>
  <c r="H74" i="2" s="1"/>
  <c r="I74" i="2"/>
  <c r="J74" i="2" s="1"/>
  <c r="K74" i="2" s="1"/>
  <c r="G64" i="2"/>
  <c r="H64" i="2" s="1"/>
  <c r="I64" i="2"/>
  <c r="J64" i="2" s="1"/>
  <c r="K64" i="2" s="1"/>
  <c r="G30" i="2"/>
  <c r="H30" i="2" s="1"/>
  <c r="I30" i="2"/>
  <c r="J30" i="2" s="1"/>
  <c r="K30" i="2" s="1"/>
  <c r="G75" i="2"/>
  <c r="H75" i="2" s="1"/>
  <c r="I75" i="2"/>
  <c r="J75" i="2" s="1"/>
  <c r="K75" i="2" s="1"/>
  <c r="G51" i="2"/>
  <c r="H51" i="2" s="1"/>
  <c r="I51" i="2"/>
  <c r="J51" i="2" s="1"/>
  <c r="K51" i="2" s="1"/>
  <c r="G45" i="2"/>
  <c r="H45" i="2" s="1"/>
  <c r="I45" i="2"/>
  <c r="J45" i="2" s="1"/>
  <c r="K45" i="2" s="1"/>
  <c r="G76" i="2"/>
  <c r="H76" i="2" s="1"/>
  <c r="I76" i="2"/>
  <c r="J76" i="2" s="1"/>
  <c r="K76" i="2" s="1"/>
  <c r="G83" i="2"/>
  <c r="H83" i="2" s="1"/>
  <c r="I83" i="2"/>
  <c r="J83" i="2" s="1"/>
  <c r="K83" i="2" s="1"/>
  <c r="G31" i="2"/>
  <c r="H31" i="2" s="1"/>
  <c r="I31" i="2"/>
  <c r="J31" i="2" s="1"/>
  <c r="K31" i="2" s="1"/>
  <c r="G82" i="2"/>
  <c r="H82" i="2" s="1"/>
  <c r="I82" i="2"/>
  <c r="J82" i="2" s="1"/>
  <c r="K82" i="2" s="1"/>
  <c r="G57" i="2"/>
  <c r="H57" i="2" s="1"/>
  <c r="I57" i="2"/>
  <c r="J57" i="2" s="1"/>
  <c r="K57" i="2" s="1"/>
  <c r="G72" i="2"/>
  <c r="H72" i="2" s="1"/>
  <c r="I72" i="2"/>
  <c r="J72" i="2" s="1"/>
  <c r="K72" i="2" s="1"/>
  <c r="G43" i="2"/>
  <c r="H43" i="2" s="1"/>
  <c r="I43" i="2"/>
  <c r="J43" i="2" s="1"/>
  <c r="K43" i="2" s="1"/>
  <c r="G3" i="2"/>
  <c r="H3" i="2" s="1"/>
  <c r="I3" i="2"/>
  <c r="J3" i="2" s="1"/>
  <c r="K3" i="2" s="1"/>
  <c r="G70" i="2"/>
  <c r="H70" i="2" s="1"/>
  <c r="I70" i="2"/>
  <c r="J70" i="2" s="1"/>
  <c r="K70" i="2" s="1"/>
  <c r="G24" i="2"/>
  <c r="H24" i="2" s="1"/>
  <c r="G25" i="2"/>
  <c r="H25" i="2" s="1"/>
  <c r="G16" i="2"/>
  <c r="H16" i="2" s="1"/>
  <c r="G17" i="2"/>
  <c r="H17" i="2" s="1"/>
  <c r="G7" i="2"/>
  <c r="H7" i="2" s="1"/>
  <c r="G10" i="2"/>
  <c r="H10" i="2" s="1"/>
  <c r="G26" i="2"/>
  <c r="H26" i="2" s="1"/>
  <c r="G8" i="2"/>
  <c r="H8" i="2" s="1"/>
  <c r="G13" i="2"/>
  <c r="H13" i="2" s="1"/>
  <c r="G9" i="2"/>
  <c r="H9" i="2" s="1"/>
  <c r="G28" i="2"/>
  <c r="H28" i="2" s="1"/>
  <c r="G6" i="2"/>
  <c r="H6" i="2" s="1"/>
  <c r="G21" i="2"/>
  <c r="H21" i="2" s="1"/>
  <c r="G20" i="2"/>
  <c r="H20" i="2" s="1"/>
  <c r="G15" i="2"/>
  <c r="H15" i="2" s="1"/>
  <c r="G29" i="2"/>
  <c r="H29" i="2" s="1"/>
  <c r="G22" i="2"/>
  <c r="H22" i="2" s="1"/>
  <c r="G12" i="2"/>
  <c r="H12" i="2" s="1"/>
  <c r="G11" i="2"/>
  <c r="H11" i="2" s="1"/>
  <c r="G18" i="2"/>
  <c r="H18" i="2" s="1"/>
  <c r="G5" i="2"/>
  <c r="H5" i="2" s="1"/>
  <c r="G14" i="2"/>
  <c r="H14" i="2" s="1"/>
  <c r="G4" i="2"/>
  <c r="H4" i="2" s="1"/>
  <c r="G19" i="2"/>
  <c r="H19" i="2" s="1"/>
  <c r="G23" i="2"/>
  <c r="H23" i="2" s="1"/>
  <c r="G27" i="2"/>
  <c r="H27" i="2" s="1"/>
</calcChain>
</file>

<file path=xl/sharedStrings.xml><?xml version="1.0" encoding="utf-8"?>
<sst xmlns="http://schemas.openxmlformats.org/spreadsheetml/2006/main" count="941" uniqueCount="38">
  <si>
    <t>sim</t>
  </si>
  <si>
    <t>sample</t>
  </si>
  <si>
    <t>type</t>
  </si>
  <si>
    <t>control_mean</t>
  </si>
  <si>
    <t>control_sd</t>
  </si>
  <si>
    <t>beta</t>
  </si>
  <si>
    <t>se</t>
  </si>
  <si>
    <t>t_stat</t>
  </si>
  <si>
    <t>pval</t>
  </si>
  <si>
    <t>OLS</t>
  </si>
  <si>
    <t>Logged</t>
  </si>
  <si>
    <t>Poisson</t>
  </si>
  <si>
    <t>Sample</t>
  </si>
  <si>
    <t>Type</t>
  </si>
  <si>
    <t>Control mean</t>
  </si>
  <si>
    <t>Control SD</t>
  </si>
  <si>
    <t>SE</t>
  </si>
  <si>
    <t>MDE</t>
  </si>
  <si>
    <t>MDES</t>
  </si>
  <si>
    <t>MDE (% reduction)</t>
  </si>
  <si>
    <t>Sum</t>
  </si>
  <si>
    <t>Average</t>
  </si>
  <si>
    <t>Running Total</t>
  </si>
  <si>
    <t>Count</t>
  </si>
  <si>
    <t>MDE (adj)</t>
  </si>
  <si>
    <t>Covariates</t>
  </si>
  <si>
    <t>Arms</t>
  </si>
  <si>
    <t>Rule</t>
  </si>
  <si>
    <t>MCA</t>
  </si>
  <si>
    <t>MDE (%)</t>
  </si>
  <si>
    <t>Check</t>
  </si>
  <si>
    <t>OLS (Rsq 0.25)</t>
  </si>
  <si>
    <t>OLS (Rsq 0.5)</t>
  </si>
  <si>
    <t>Lookup</t>
  </si>
  <si>
    <t>Poisson (Rsq 0.5)</t>
  </si>
  <si>
    <t>Poisson (Rsq 0.25)</t>
  </si>
  <si>
    <t>OLS (Rsq 0.75)</t>
  </si>
  <si>
    <t>Poisson (Rsq 0.75)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</si>
</sst>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1" fontId="0" fillId="0" borderId="0" xfId="0" applyNumberFormat="1"/>
    <xf numFmtId="4" fontId="0" fillId="0" borderId="0" xfId="0" applyNumberFormat="1"/>
    <xf numFmtId="3" fontId="0" fillId="0" borderId="0" xfId="0" applyNumberFormat="1"/>
    <xf numFmtId="0" fontId="16" fillId="0" borderId="0" xfId="0" applyFont="1"/>
    <xf numFmtId="0" fontId="0" fillId="0" borderId="0" xfId="0" applyAlignment="1">
      <alignment horizontal="right"/>
    </xf>
    <xf numFmtId="9" fontId="0" fillId="0" borderId="0" xfId="0" applyNumberFormat="1"/>
    <xf numFmtId="0" fontId="16" fillId="0" borderId="0" xfId="0" applyFont="1" applyAlignment="1">
      <alignment horizontal="right"/>
    </xf>
    <xf numFmtId="0" fontId="16" fillId="33" borderId="0" xfId="0" applyFont="1" applyFill="1"/>
    <xf numFmtId="0" fontId="0" fillId="33" borderId="0" xfId="0" applyFill="1"/>
    <xf numFmtId="0" fontId="16" fillId="33" borderId="0" xfId="0" applyFont="1" applyFill="1" applyAlignment="1">
      <alignment horizontal="right"/>
    </xf>
    <xf numFmtId="0" fontId="16" fillId="34" borderId="0" xfId="0" applyFont="1" applyFill="1" applyAlignment="1">
      <alignment horizontal="right"/>
    </xf>
    <xf numFmtId="0" fontId="16" fillId="35" borderId="0" xfId="0" applyFont="1" applyFill="1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3300"/>
      <color rgb="FF0000C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71354671484546E-2"/>
          <c:y val="2.7760756801134455E-2"/>
          <c:w val="0.89205924050679253"/>
          <c:h val="0.82111800594462114"/>
        </c:manualLayout>
      </c:layout>
      <c:lineChart>
        <c:grouping val="standard"/>
        <c:varyColors val="0"/>
        <c:ser>
          <c:idx val="0"/>
          <c:order val="0"/>
          <c:tx>
            <c:strRef>
              <c:f>'++Output++'!$B$2</c:f>
              <c:strCache>
                <c:ptCount val="1"/>
                <c:pt idx="0">
                  <c:v>OLS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'++Output++'!$A$3:$A$6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'++Output++'!$B$3:$B$6</c:f>
              <c:numCache>
                <c:formatCode>0.0%</c:formatCode>
                <c:ptCount val="4"/>
                <c:pt idx="0">
                  <c:v>6.2857560856991235E-2</c:v>
                </c:pt>
                <c:pt idx="1">
                  <c:v>8.4191941173355045E-2</c:v>
                </c:pt>
                <c:pt idx="2">
                  <c:v>0.10347571345925004</c:v>
                </c:pt>
                <c:pt idx="3">
                  <c:v>0.1199955052693155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9C-4991-B12E-DB08908E47EC}"/>
            </c:ext>
          </c:extLst>
        </c:ser>
        <c:ser>
          <c:idx val="1"/>
          <c:order val="1"/>
          <c:tx>
            <c:strRef>
              <c:f>'++Output++'!$D$2</c:f>
              <c:strCache>
                <c:ptCount val="1"/>
                <c:pt idx="0">
                  <c:v>OLS (Rsq 0.25)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'++Output++'!$A$3:$A$6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'++Output++'!$D$3:$D$6</c:f>
              <c:numCache>
                <c:formatCode>0.0%</c:formatCode>
                <c:ptCount val="4"/>
                <c:pt idx="0">
                  <c:v>5.4436244522080755E-2</c:v>
                </c:pt>
                <c:pt idx="1">
                  <c:v>7.2912359850050498E-2</c:v>
                </c:pt>
                <c:pt idx="2">
                  <c:v>8.9612596530429883E-2</c:v>
                </c:pt>
                <c:pt idx="3">
                  <c:v>0.10391915590317669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9C-4991-B12E-DB08908E47EC}"/>
            </c:ext>
          </c:extLst>
        </c:ser>
        <c:ser>
          <c:idx val="2"/>
          <c:order val="2"/>
          <c:tx>
            <c:strRef>
              <c:f>'++Output++'!$F$2</c:f>
              <c:strCache>
                <c:ptCount val="1"/>
                <c:pt idx="0">
                  <c:v>OLS (Rsq 0.5)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'++Output++'!$A$3:$A$6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'++Output++'!$F$3:$F$6</c:f>
              <c:numCache>
                <c:formatCode>0.0%</c:formatCode>
                <c:ptCount val="4"/>
                <c:pt idx="0">
                  <c:v>4.4447007530824596E-2</c:v>
                </c:pt>
                <c:pt idx="1">
                  <c:v>5.9532692524938251E-2</c:v>
                </c:pt>
                <c:pt idx="2">
                  <c:v>7.3168378675151816E-2</c:v>
                </c:pt>
                <c:pt idx="3">
                  <c:v>8.4849635487839095E-2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89C-4991-B12E-DB08908E47EC}"/>
            </c:ext>
          </c:extLst>
        </c:ser>
        <c:ser>
          <c:idx val="3"/>
          <c:order val="3"/>
          <c:tx>
            <c:strRef>
              <c:f>'++Output++'!$H$2</c:f>
              <c:strCache>
                <c:ptCount val="1"/>
                <c:pt idx="0">
                  <c:v>OLS (Rsq 0.75)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'++Output++'!$A$3:$A$6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'++Output++'!$H$3:$H$6</c:f>
              <c:numCache>
                <c:formatCode>0.0%</c:formatCode>
                <c:ptCount val="4"/>
                <c:pt idx="0">
                  <c:v>3.1428780428495617E-2</c:v>
                </c:pt>
                <c:pt idx="1">
                  <c:v>4.2095970586677522E-2</c:v>
                </c:pt>
                <c:pt idx="2">
                  <c:v>5.1737856729625019E-2</c:v>
                </c:pt>
                <c:pt idx="3">
                  <c:v>5.9997752634657751E-2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9C-4991-B12E-DB08908E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17024"/>
        <c:axId val="202915776"/>
      </c:lineChart>
      <c:catAx>
        <c:axId val="202917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Number of</a:t>
                </a:r>
                <a:r>
                  <a:rPr lang="en-GB" sz="1400" b="1" baseline="0"/>
                  <a:t> arms (includes Control group)</a:t>
                </a:r>
                <a:endParaRPr lang="en-GB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15776"/>
        <c:crosses val="autoZero"/>
        <c:auto val="1"/>
        <c:lblAlgn val="ctr"/>
        <c:lblOffset val="100"/>
        <c:noMultiLvlLbl val="0"/>
      </c:catAx>
      <c:valAx>
        <c:axId val="2029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Minimum</a:t>
                </a:r>
                <a:r>
                  <a:rPr lang="en-GB" sz="1200" baseline="0"/>
                  <a:t> Detectable Effect (% reduction)</a:t>
                </a:r>
                <a:endParaRPr lang="en-GB" sz="1200"/>
              </a:p>
            </c:rich>
          </c:tx>
          <c:layout>
            <c:manualLayout>
              <c:xMode val="edge"/>
              <c:yMode val="edge"/>
              <c:x val="4.6752141915088552E-3"/>
              <c:y val="3.2475187290330422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91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419099</xdr:colOff>
      <xdr:row>1</xdr:row>
      <xdr:rowOff>82550</xdr:rowOff>
    </xdr:from>
    <xdr:to>
      <xdr:col>24</xdr:col>
      <xdr:colOff>15875</xdr:colOff>
      <xdr:row>33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60FFAC-AF54-B2B7-8743-102F50FFF8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CC"/>
  </sheetPr>
  <dimension ref="A1:J6"/>
  <sheetViews>
    <sheetView tabSelected="1" topLeftCell="B1" zoomScale="115" zoomScaleNormal="115" workbookViewId="0">
      <selection activeCell="F6" sqref="F6"/>
    </sheetView>
  </sheetViews>
  <sheetFormatPr defaultRowHeight="14.5" outlineLevelCol="1" x14ac:dyDescent="0.35"/>
  <cols>
    <col min="1" max="1" width="12.81640625" customWidth="1"/>
    <col min="3" max="3" width="8.7265625" hidden="1" customWidth="1" outlineLevel="1"/>
    <col min="4" max="4" width="8.7265625" collapsed="1"/>
    <col min="5" max="5" width="8.7265625" hidden="1" customWidth="1" outlineLevel="1"/>
    <col min="6" max="6" width="8.7265625" collapsed="1"/>
    <col min="7" max="7" width="8.7265625" hidden="1" customWidth="1" outlineLevel="1"/>
    <col min="8" max="8" width="8.7265625" collapsed="1"/>
    <col min="9" max="9" width="0" hidden="1" customWidth="1" outlineLevel="1"/>
    <col min="10" max="10" width="8.7265625" collapsed="1"/>
  </cols>
  <sheetData>
    <row r="1" spans="1:9" x14ac:dyDescent="0.35">
      <c r="B1" t="s">
        <v>9</v>
      </c>
      <c r="C1" t="s">
        <v>11</v>
      </c>
      <c r="D1" t="s">
        <v>9</v>
      </c>
      <c r="E1" t="s">
        <v>11</v>
      </c>
      <c r="F1" t="s">
        <v>9</v>
      </c>
      <c r="G1" t="s">
        <v>11</v>
      </c>
      <c r="H1" t="s">
        <v>9</v>
      </c>
      <c r="I1" t="s">
        <v>11</v>
      </c>
    </row>
    <row r="2" spans="1:9" x14ac:dyDescent="0.35">
      <c r="A2" t="s">
        <v>26</v>
      </c>
      <c r="B2" t="s">
        <v>9</v>
      </c>
      <c r="C2" t="s">
        <v>11</v>
      </c>
      <c r="D2" t="s">
        <v>31</v>
      </c>
      <c r="E2" t="s">
        <v>35</v>
      </c>
      <c r="F2" t="s">
        <v>32</v>
      </c>
      <c r="G2" t="s">
        <v>34</v>
      </c>
      <c r="H2" t="s">
        <v>36</v>
      </c>
      <c r="I2" t="s">
        <v>37</v>
      </c>
    </row>
    <row r="3" spans="1:9" x14ac:dyDescent="0.35">
      <c r="A3">
        <v>2</v>
      </c>
      <c r="B3" s="13">
        <f>INDEX(Analysis!$Q$3:$Q$83,MATCH(B$1&amp;$A3,Analysis!$B$3:$B$83,0))</f>
        <v>6.2857560856991235E-2</v>
      </c>
      <c r="C3" s="13">
        <f>INDEX(Analysis!$Q$3:$Q$83,MATCH(C$1&amp;$A3,Analysis!$B$3:$B$83,0))</f>
        <v>6.3166997692169505E-2</v>
      </c>
      <c r="D3" s="13">
        <f>B3*SQRT(1-0.25)</f>
        <v>5.4436244522080755E-2</v>
      </c>
      <c r="E3" s="13">
        <f t="shared" ref="E3:E6" si="0">C3*SQRT(1-0.25)</f>
        <v>5.4704224682211797E-2</v>
      </c>
      <c r="F3" s="13">
        <f>B3*SQRT(1-0.5)</f>
        <v>4.4447007530824596E-2</v>
      </c>
      <c r="G3" s="13">
        <f t="shared" ref="G3:G6" si="1">C3*SQRT(1-0.5)</f>
        <v>4.4665812415328056E-2</v>
      </c>
      <c r="H3" s="13">
        <f>B3*SQRT(1-0.75)</f>
        <v>3.1428780428495617E-2</v>
      </c>
      <c r="I3" s="13">
        <f t="shared" ref="I3:I6" si="2">C3*SQRT(1-0.75)</f>
        <v>3.1583498846084752E-2</v>
      </c>
    </row>
    <row r="4" spans="1:9" x14ac:dyDescent="0.35">
      <c r="A4">
        <v>3</v>
      </c>
      <c r="B4" s="13">
        <f>INDEX(Analysis!$Q$3:$Q$83,MATCH(B$1&amp;$A4,Analysis!$B$3:$B$83,0))</f>
        <v>8.4191941173355045E-2</v>
      </c>
      <c r="C4" s="13">
        <f>INDEX(Analysis!$Q$3:$Q$83,MATCH(C$1&amp;$A4,Analysis!$B$3:$B$83,0))</f>
        <v>8.431745040076527E-2</v>
      </c>
      <c r="D4" s="13">
        <f t="shared" ref="D4:D6" si="3">B4*SQRT(1-0.25)</f>
        <v>7.2912359850050498E-2</v>
      </c>
      <c r="E4" s="13">
        <f t="shared" si="0"/>
        <v>7.3021054029397112E-2</v>
      </c>
      <c r="F4" s="13">
        <f t="shared" ref="F4:F6" si="4">B4*SQRT(1-0.5)</f>
        <v>5.9532692524938251E-2</v>
      </c>
      <c r="G4" s="13">
        <f t="shared" si="1"/>
        <v>5.9621440950741504E-2</v>
      </c>
      <c r="H4" s="13">
        <f t="shared" ref="H4:H6" si="5">B4*SQRT(1-0.75)</f>
        <v>4.2095970586677522E-2</v>
      </c>
      <c r="I4" s="13">
        <f t="shared" si="2"/>
        <v>4.2158725200382635E-2</v>
      </c>
    </row>
    <row r="5" spans="1:9" x14ac:dyDescent="0.35">
      <c r="A5">
        <v>4</v>
      </c>
      <c r="B5" s="13">
        <f>INDEX(Analysis!$Q$3:$Q$83,MATCH(B$1&amp;$A5,Analysis!$B$3:$B$83,0))</f>
        <v>0.10347571345925004</v>
      </c>
      <c r="C5" s="13">
        <f>INDEX(Analysis!$Q$3:$Q$83,MATCH(C$1&amp;$A5,Analysis!$B$3:$B$83,0))</f>
        <v>0.10299352675068048</v>
      </c>
      <c r="D5" s="13">
        <f t="shared" si="3"/>
        <v>8.9612596530429883E-2</v>
      </c>
      <c r="E5" s="13">
        <f t="shared" si="0"/>
        <v>8.9195010591441443E-2</v>
      </c>
      <c r="F5" s="13">
        <f t="shared" si="4"/>
        <v>7.3168378675151816E-2</v>
      </c>
      <c r="G5" s="13">
        <f t="shared" si="1"/>
        <v>7.2827421183724261E-2</v>
      </c>
      <c r="H5" s="13">
        <f t="shared" si="5"/>
        <v>5.1737856729625019E-2</v>
      </c>
      <c r="I5" s="13">
        <f t="shared" si="2"/>
        <v>5.1496763375340239E-2</v>
      </c>
    </row>
    <row r="6" spans="1:9" x14ac:dyDescent="0.35">
      <c r="A6">
        <v>5</v>
      </c>
      <c r="B6" s="13">
        <f>INDEX(Analysis!$Q$3:$Q$83,MATCH(B$1&amp;$A6,Analysis!$B$3:$B$83,0))</f>
        <v>0.1199955052693155</v>
      </c>
      <c r="C6" s="13">
        <f>INDEX(Analysis!$Q$3:$Q$83,MATCH(C$1&amp;$A6,Analysis!$B$3:$B$83,0))</f>
        <v>0.12031489728332344</v>
      </c>
      <c r="D6" s="13">
        <f t="shared" si="3"/>
        <v>0.10391915590317669</v>
      </c>
      <c r="E6" s="13">
        <f t="shared" si="0"/>
        <v>0.10419575750107343</v>
      </c>
      <c r="F6" s="13">
        <f t="shared" si="4"/>
        <v>8.4849635487839095E-2</v>
      </c>
      <c r="G6" s="13">
        <f t="shared" si="1"/>
        <v>8.5075479746800936E-2</v>
      </c>
      <c r="H6" s="13">
        <f t="shared" si="5"/>
        <v>5.9997752634657751E-2</v>
      </c>
      <c r="I6" s="13">
        <f t="shared" si="2"/>
        <v>6.0157448641661719E-2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00"/>
  </sheetPr>
  <dimension ref="A1:Q83"/>
  <sheetViews>
    <sheetView topLeftCell="A2" workbookViewId="0">
      <selection activeCell="M22" sqref="M22"/>
    </sheetView>
  </sheetViews>
  <sheetFormatPr defaultRowHeight="14.5" x14ac:dyDescent="0.35"/>
  <cols>
    <col min="1" max="2" width="14.36328125" customWidth="1"/>
    <col min="3" max="3" width="12.1796875" customWidth="1"/>
    <col min="7" max="7" width="7.6328125" customWidth="1"/>
  </cols>
  <sheetData>
    <row r="1" spans="1:17" x14ac:dyDescent="0.35">
      <c r="I1" s="8" t="s">
        <v>25</v>
      </c>
      <c r="J1" s="9">
        <v>0.25</v>
      </c>
      <c r="K1" s="9"/>
      <c r="O1" s="12" t="s">
        <v>28</v>
      </c>
    </row>
    <row r="2" spans="1:17" x14ac:dyDescent="0.35">
      <c r="A2" s="4" t="s">
        <v>12</v>
      </c>
      <c r="B2" s="4" t="s">
        <v>33</v>
      </c>
      <c r="C2" s="4" t="s">
        <v>13</v>
      </c>
      <c r="D2" s="4" t="s">
        <v>14</v>
      </c>
      <c r="E2" s="4" t="s">
        <v>15</v>
      </c>
      <c r="F2" s="7" t="s">
        <v>17</v>
      </c>
      <c r="G2" s="7" t="s">
        <v>19</v>
      </c>
      <c r="H2" s="4" t="s">
        <v>18</v>
      </c>
      <c r="I2" s="10" t="s">
        <v>24</v>
      </c>
      <c r="J2" s="10" t="s">
        <v>19</v>
      </c>
      <c r="K2" s="10" t="s">
        <v>18</v>
      </c>
      <c r="L2" s="10" t="s">
        <v>26</v>
      </c>
      <c r="M2" s="10" t="s">
        <v>30</v>
      </c>
      <c r="N2" s="10" t="s">
        <v>27</v>
      </c>
      <c r="O2" s="11" t="s">
        <v>16</v>
      </c>
      <c r="P2" s="11" t="s">
        <v>24</v>
      </c>
      <c r="Q2" s="11" t="s">
        <v>29</v>
      </c>
    </row>
    <row r="3" spans="1:17" x14ac:dyDescent="0.35">
      <c r="A3" s="3">
        <v>1000</v>
      </c>
      <c r="B3" s="3" t="str">
        <f>IF(L3="","",C3&amp;L3)</f>
        <v/>
      </c>
      <c r="C3" t="s">
        <v>9</v>
      </c>
      <c r="D3" s="2">
        <f>AVERAGEIFS(Data!E$2:E$811,Data!$C$2:$C$811,$A3,Data!$D$2:$D$811,$C3)</f>
        <v>352.9671442021355</v>
      </c>
      <c r="E3" s="2">
        <f>AVERAGEIFS(Data!F$2:F$811,Data!$C$2:$C$811,$A3,Data!$D$2:$D$811,$C3)</f>
        <v>502.718968031055</v>
      </c>
      <c r="F3" s="2">
        <f>AVERAGEIFS(Data!K$2:K$811,Data!$C$2:$C$811,$A3,Data!$D$2:$D$811,$C3)</f>
        <v>98.33336999750982</v>
      </c>
      <c r="G3" s="6">
        <f>F3/$D3</f>
        <v>0.2785907176142059</v>
      </c>
      <c r="H3" s="2">
        <f>(G3*$D3)/$E3</f>
        <v>0.19560306304463007</v>
      </c>
      <c r="I3" s="2">
        <f>F3*SQRT(1-$J$1)</f>
        <v>85.159196457578048</v>
      </c>
      <c r="J3" s="6">
        <f>I3/$D3</f>
        <v>0.24126663871243917</v>
      </c>
      <c r="K3" s="2">
        <f>(J3*$D3)/$E3</f>
        <v>0.16939722165469878</v>
      </c>
      <c r="O3" s="2">
        <f>AVERAGEIFS(Data!H$2:H$811,Data!$C$2:$C$811,$A3,Data!$D$2:$D$811,$C3)</f>
        <v>35.099192063603212</v>
      </c>
      <c r="P3" t="str">
        <f>IF(N3="","",O3*N3)</f>
        <v/>
      </c>
      <c r="Q3" s="13"/>
    </row>
    <row r="4" spans="1:17" x14ac:dyDescent="0.35">
      <c r="A4" s="3">
        <v>1500</v>
      </c>
      <c r="B4" s="3" t="str">
        <f t="shared" ref="B4:B67" si="0">IF(L4="","",C4&amp;L4)</f>
        <v/>
      </c>
      <c r="C4" t="s">
        <v>9</v>
      </c>
      <c r="D4" s="2">
        <f>AVERAGEIFS(Data!E$2:E$811,Data!$C$2:$C$811,$A4,Data!$D$2:$D$811,$C4)</f>
        <v>365.79894359904409</v>
      </c>
      <c r="E4" s="2">
        <f>AVERAGEIFS(Data!F$2:F$811,Data!$C$2:$C$811,$A4,Data!$D$2:$D$811,$C4)</f>
        <v>500.69934275406104</v>
      </c>
      <c r="F4" s="2">
        <f>AVERAGEIFS(Data!K$2:K$811,Data!$C$2:$C$811,$A4,Data!$D$2:$D$811,$C4)</f>
        <v>75.537923224621991</v>
      </c>
      <c r="G4" s="6">
        <f>F4/D4</f>
        <v>0.2065012065956644</v>
      </c>
      <c r="H4" s="2">
        <f>(G4*D4)/E4</f>
        <v>0.15086483399225378</v>
      </c>
      <c r="I4" s="2">
        <f>F4*SQRT(1-$J$1)</f>
        <v>65.41776046164118</v>
      </c>
      <c r="J4" s="6">
        <f t="shared" ref="J4:J29" si="1">I4/$D4</f>
        <v>0.17883529082398403</v>
      </c>
      <c r="K4" s="2">
        <f t="shared" ref="K4:K67" si="2">(J4*$D4)/$E4</f>
        <v>0.13065277877501386</v>
      </c>
      <c r="O4" s="2">
        <f>AVERAGEIFS(Data!H$2:H$811,Data!$C$2:$C$811,$A4,Data!$D$2:$D$811,$C4)</f>
        <v>26.962566984268545</v>
      </c>
      <c r="P4" t="str">
        <f t="shared" ref="P4:P67" si="3">IF(N4="","",O4*N4)</f>
        <v/>
      </c>
      <c r="Q4" s="13"/>
    </row>
    <row r="5" spans="1:17" x14ac:dyDescent="0.35">
      <c r="A5" s="3">
        <v>2000</v>
      </c>
      <c r="B5" s="3" t="str">
        <f t="shared" si="0"/>
        <v/>
      </c>
      <c r="C5" t="s">
        <v>9</v>
      </c>
      <c r="D5" s="2">
        <f>AVERAGEIFS(Data!E$2:E$811,Data!$C$2:$C$811,$A5,Data!$D$2:$D$811,$C5)</f>
        <v>374.64124962242033</v>
      </c>
      <c r="E5" s="2">
        <f>AVERAGEIFS(Data!F$2:F$811,Data!$C$2:$C$811,$A5,Data!$D$2:$D$811,$C5)</f>
        <v>524.52543481990301</v>
      </c>
      <c r="F5" s="2">
        <f>AVERAGEIFS(Data!K$2:K$811,Data!$C$2:$C$811,$A5,Data!$D$2:$D$811,$C5)</f>
        <v>64.504535072817873</v>
      </c>
      <c r="G5" s="6">
        <f>F5/D5</f>
        <v>0.17217680951531189</v>
      </c>
      <c r="H5" s="2">
        <f>(G5*D5)/E5</f>
        <v>0.12297694409226437</v>
      </c>
      <c r="I5" s="2">
        <f>F5*SQRT(1-$J$1)</f>
        <v>55.862566032364583</v>
      </c>
      <c r="J5" s="6">
        <f t="shared" si="1"/>
        <v>0.14910949098281434</v>
      </c>
      <c r="K5" s="2">
        <f t="shared" si="2"/>
        <v>0.1065011576636796</v>
      </c>
      <c r="O5" s="2">
        <f>AVERAGEIFS(Data!H$2:H$811,Data!$C$2:$C$811,$A5,Data!$D$2:$D$811,$C5)</f>
        <v>23.02430055587029</v>
      </c>
      <c r="P5" t="str">
        <f t="shared" si="3"/>
        <v/>
      </c>
      <c r="Q5" s="13"/>
    </row>
    <row r="6" spans="1:17" x14ac:dyDescent="0.35">
      <c r="A6" s="3">
        <v>2500</v>
      </c>
      <c r="B6" s="3" t="str">
        <f t="shared" si="0"/>
        <v/>
      </c>
      <c r="C6" t="s">
        <v>9</v>
      </c>
      <c r="D6" s="2">
        <f>AVERAGEIFS(Data!E$2:E$811,Data!$C$2:$C$811,$A6,Data!$D$2:$D$811,$C6)</f>
        <v>372.90861411560752</v>
      </c>
      <c r="E6" s="2">
        <f>AVERAGEIFS(Data!F$2:F$811,Data!$C$2:$C$811,$A6,Data!$D$2:$D$811,$C6)</f>
        <v>514.06641516219747</v>
      </c>
      <c r="F6" s="2">
        <f>AVERAGEIFS(Data!K$2:K$811,Data!$C$2:$C$811,$A6,Data!$D$2:$D$811,$C6)</f>
        <v>57.378936129258683</v>
      </c>
      <c r="G6" s="6">
        <f>F6/D6</f>
        <v>0.15386862613870944</v>
      </c>
      <c r="H6" s="2">
        <f>(G6*D6)/E6</f>
        <v>0.11161774906293881</v>
      </c>
      <c r="I6" s="2">
        <f>F6*SQRT(1-$J$1)</f>
        <v>49.691616330062764</v>
      </c>
      <c r="J6" s="6">
        <f t="shared" si="1"/>
        <v>0.13325413908153269</v>
      </c>
      <c r="K6" s="2">
        <f t="shared" si="2"/>
        <v>9.6663806201741753E-2</v>
      </c>
      <c r="O6" s="2">
        <f>AVERAGEIFS(Data!H$2:H$811,Data!$C$2:$C$811,$A6,Data!$D$2:$D$811,$C6)</f>
        <v>20.480883546013661</v>
      </c>
      <c r="P6" t="str">
        <f t="shared" si="3"/>
        <v/>
      </c>
      <c r="Q6" s="13"/>
    </row>
    <row r="7" spans="1:17" x14ac:dyDescent="0.35">
      <c r="A7" s="3">
        <v>3000</v>
      </c>
      <c r="B7" s="3" t="str">
        <f t="shared" si="0"/>
        <v/>
      </c>
      <c r="C7" t="s">
        <v>9</v>
      </c>
      <c r="D7" s="2">
        <f>AVERAGEIFS(Data!E$2:E$811,Data!$C$2:$C$811,$A7,Data!$D$2:$D$811,$C7)</f>
        <v>367.20965645988377</v>
      </c>
      <c r="E7" s="2">
        <f>AVERAGEIFS(Data!F$2:F$811,Data!$C$2:$C$811,$A7,Data!$D$2:$D$811,$C7)</f>
        <v>485.21683077310053</v>
      </c>
      <c r="F7" s="2">
        <f>AVERAGEIFS(Data!K$2:K$811,Data!$C$2:$C$811,$A7,Data!$D$2:$D$811,$C7)</f>
        <v>51.071137873963771</v>
      </c>
      <c r="G7" s="6">
        <f>F7/D7</f>
        <v>0.13907896204669415</v>
      </c>
      <c r="H7" s="2">
        <f>(G7*D7)/E7</f>
        <v>0.10525425878692553</v>
      </c>
      <c r="I7" s="2">
        <f>F7*SQRT(1-$J$1)</f>
        <v>44.228902799030209</v>
      </c>
      <c r="J7" s="6">
        <f t="shared" si="1"/>
        <v>0.1204459142644089</v>
      </c>
      <c r="K7" s="2">
        <f t="shared" si="2"/>
        <v>9.1152861965978965E-2</v>
      </c>
      <c r="O7" s="2">
        <f>AVERAGEIFS(Data!H$2:H$811,Data!$C$2:$C$811,$A7,Data!$D$2:$D$811,$C7)</f>
        <v>18.229372970644754</v>
      </c>
      <c r="P7" t="str">
        <f t="shared" si="3"/>
        <v/>
      </c>
      <c r="Q7" s="13"/>
    </row>
    <row r="8" spans="1:17" x14ac:dyDescent="0.35">
      <c r="A8" s="3">
        <v>3500</v>
      </c>
      <c r="B8" s="3" t="str">
        <f t="shared" si="0"/>
        <v/>
      </c>
      <c r="C8" t="s">
        <v>9</v>
      </c>
      <c r="D8" s="2">
        <f>AVERAGEIFS(Data!E$2:E$811,Data!$C$2:$C$811,$A8,Data!$D$2:$D$811,$C8)</f>
        <v>369.24659744006436</v>
      </c>
      <c r="E8" s="2">
        <f>AVERAGEIFS(Data!F$2:F$811,Data!$C$2:$C$811,$A8,Data!$D$2:$D$811,$C8)</f>
        <v>515.85342844666093</v>
      </c>
      <c r="F8" s="2">
        <f>AVERAGEIFS(Data!K$2:K$811,Data!$C$2:$C$811,$A8,Data!$D$2:$D$811,$C8)</f>
        <v>47.944317145110446</v>
      </c>
      <c r="G8" s="6">
        <f>F8/D8</f>
        <v>0.12984362612276396</v>
      </c>
      <c r="H8" s="2">
        <f>(G8*D8)/E8</f>
        <v>9.294174372259284E-2</v>
      </c>
      <c r="I8" s="2">
        <f>F8*SQRT(1-$J$1)</f>
        <v>41.520996614763455</v>
      </c>
      <c r="J8" s="6">
        <f t="shared" si="1"/>
        <v>0.11244787874180233</v>
      </c>
      <c r="K8" s="2">
        <f t="shared" si="2"/>
        <v>8.0489911135788281E-2</v>
      </c>
      <c r="O8" s="2">
        <f>AVERAGEIFS(Data!H$2:H$811,Data!$C$2:$C$811,$A8,Data!$D$2:$D$811,$C8)</f>
        <v>17.113283068373953</v>
      </c>
      <c r="P8" t="str">
        <f t="shared" si="3"/>
        <v/>
      </c>
      <c r="Q8" s="13"/>
    </row>
    <row r="9" spans="1:17" x14ac:dyDescent="0.35">
      <c r="A9" s="3">
        <v>4000</v>
      </c>
      <c r="B9" s="3" t="str">
        <f t="shared" si="0"/>
        <v/>
      </c>
      <c r="C9" t="s">
        <v>9</v>
      </c>
      <c r="D9" s="2">
        <f>AVERAGEIFS(Data!E$2:E$811,Data!$C$2:$C$811,$A9,Data!$D$2:$D$811,$C9)</f>
        <v>368.67233868551403</v>
      </c>
      <c r="E9" s="2">
        <f>AVERAGEIFS(Data!F$2:F$811,Data!$C$2:$C$811,$A9,Data!$D$2:$D$811,$C9)</f>
        <v>485.90238366288787</v>
      </c>
      <c r="F9" s="2">
        <f>AVERAGEIFS(Data!K$2:K$811,Data!$C$2:$C$811,$A9,Data!$D$2:$D$811,$C9)</f>
        <v>44.149139655716787</v>
      </c>
      <c r="G9" s="6">
        <f>F9/D9</f>
        <v>0.11975170096332347</v>
      </c>
      <c r="H9" s="2">
        <f>(G9*D9)/E9</f>
        <v>9.0860100999930124E-2</v>
      </c>
      <c r="I9" s="2">
        <f>F9*SQRT(1-$J$1)</f>
        <v>38.234276497077701</v>
      </c>
      <c r="J9" s="6">
        <f t="shared" si="1"/>
        <v>0.10370801518063555</v>
      </c>
      <c r="K9" s="2">
        <f t="shared" si="2"/>
        <v>7.868715565635935E-2</v>
      </c>
      <c r="O9" s="2">
        <f>AVERAGEIFS(Data!H$2:H$811,Data!$C$2:$C$811,$A9,Data!$D$2:$D$811,$C9)</f>
        <v>15.758629367203492</v>
      </c>
      <c r="P9" t="str">
        <f t="shared" si="3"/>
        <v/>
      </c>
      <c r="Q9" s="13"/>
    </row>
    <row r="10" spans="1:17" x14ac:dyDescent="0.35">
      <c r="A10" s="3">
        <v>4500</v>
      </c>
      <c r="B10" s="3" t="str">
        <f t="shared" si="0"/>
        <v/>
      </c>
      <c r="C10" t="s">
        <v>9</v>
      </c>
      <c r="D10" s="2">
        <f>AVERAGEIFS(Data!E$2:E$811,Data!$C$2:$C$811,$A10,Data!$D$2:$D$811,$C10)</f>
        <v>364.21356649884109</v>
      </c>
      <c r="E10" s="2">
        <f>AVERAGEIFS(Data!F$2:F$811,Data!$C$2:$C$811,$A10,Data!$D$2:$D$811,$C10)</f>
        <v>474.70417075246752</v>
      </c>
      <c r="F10" s="2">
        <f>AVERAGEIFS(Data!K$2:K$811,Data!$C$2:$C$811,$A10,Data!$D$2:$D$811,$C10)</f>
        <v>41.320541945549806</v>
      </c>
      <c r="G10" s="6">
        <f>F10/D10</f>
        <v>0.11345140803721622</v>
      </c>
      <c r="H10" s="2">
        <f>(G10*D10)/E10</f>
        <v>8.7044826001952763E-2</v>
      </c>
      <c r="I10" s="2">
        <f>F10*SQRT(1-$J$1)</f>
        <v>35.784639022986603</v>
      </c>
      <c r="J10" s="6">
        <f t="shared" si="1"/>
        <v>9.8251801455343291E-2</v>
      </c>
      <c r="K10" s="2">
        <f t="shared" si="2"/>
        <v>7.5383030585687336E-2</v>
      </c>
      <c r="O10" s="2">
        <f>AVERAGEIFS(Data!H$2:H$811,Data!$C$2:$C$811,$A10,Data!$D$2:$D$811,$C10)</f>
        <v>14.74898742874116</v>
      </c>
      <c r="P10" t="str">
        <f t="shared" si="3"/>
        <v/>
      </c>
      <c r="Q10" s="13"/>
    </row>
    <row r="11" spans="1:17" x14ac:dyDescent="0.35">
      <c r="A11" s="3">
        <v>5000</v>
      </c>
      <c r="B11" s="3" t="str">
        <f t="shared" si="0"/>
        <v/>
      </c>
      <c r="C11" t="s">
        <v>9</v>
      </c>
      <c r="D11" s="2">
        <f>AVERAGEIFS(Data!E$2:E$811,Data!$C$2:$C$811,$A11,Data!$D$2:$D$811,$C11)</f>
        <v>363.74410955056373</v>
      </c>
      <c r="E11" s="2">
        <f>AVERAGEIFS(Data!F$2:F$811,Data!$C$2:$C$811,$A11,Data!$D$2:$D$811,$C11)</f>
        <v>482.40513939095189</v>
      </c>
      <c r="F11" s="2">
        <f>AVERAGEIFS(Data!K$2:K$811,Data!$C$2:$C$811,$A11,Data!$D$2:$D$811,$C11)</f>
        <v>38.433563536996203</v>
      </c>
      <c r="G11" s="6">
        <f>F11/D11</f>
        <v>0.1056609922411777</v>
      </c>
      <c r="H11" s="2">
        <f>(G11*D11)/E11</f>
        <v>7.9670717408855771E-2</v>
      </c>
      <c r="I11" s="2">
        <f>F11*SQRT(1-$J$1)</f>
        <v>33.284442381002016</v>
      </c>
      <c r="J11" s="6">
        <f t="shared" si="1"/>
        <v>9.1505103469930349E-2</v>
      </c>
      <c r="K11" s="2">
        <f t="shared" si="2"/>
        <v>6.8996865213800218E-2</v>
      </c>
      <c r="O11" s="2">
        <f>AVERAGEIFS(Data!H$2:H$811,Data!$C$2:$C$811,$A11,Data!$D$2:$D$811,$C11)</f>
        <v>13.718507036908111</v>
      </c>
      <c r="P11" t="str">
        <f t="shared" si="3"/>
        <v/>
      </c>
      <c r="Q11" s="13"/>
    </row>
    <row r="12" spans="1:17" x14ac:dyDescent="0.35">
      <c r="A12" s="3">
        <v>5500</v>
      </c>
      <c r="B12" s="3" t="str">
        <f t="shared" si="0"/>
        <v>OLS5</v>
      </c>
      <c r="C12" t="s">
        <v>9</v>
      </c>
      <c r="D12" s="2">
        <f>AVERAGEIFS(Data!E$2:E$811,Data!$C$2:$C$811,$A12,Data!$D$2:$D$811,$C12)</f>
        <v>369.63596382963578</v>
      </c>
      <c r="E12" s="2">
        <f>AVERAGEIFS(Data!F$2:F$811,Data!$C$2:$C$811,$A12,Data!$D$2:$D$811,$C12)</f>
        <v>495.1064030702745</v>
      </c>
      <c r="F12" s="2">
        <f>AVERAGEIFS(Data!K$2:K$811,Data!$C$2:$C$811,$A12,Data!$D$2:$D$811,$C12)</f>
        <v>37.212089146774858</v>
      </c>
      <c r="G12" s="6">
        <f>F12/D12</f>
        <v>0.10067226349199562</v>
      </c>
      <c r="H12" s="2">
        <f>(G12*D12)/E12</f>
        <v>7.5159781646962548E-2</v>
      </c>
      <c r="I12" s="2">
        <f>F12*SQRT(1-$J$1)</f>
        <v>32.226614528998219</v>
      </c>
      <c r="J12" s="6">
        <f t="shared" si="1"/>
        <v>8.7184737640548904E-2</v>
      </c>
      <c r="K12" s="2">
        <f t="shared" si="2"/>
        <v>6.509028024916097E-2</v>
      </c>
      <c r="L12">
        <v>5</v>
      </c>
      <c r="M12" s="3">
        <f>A12/2*L12</f>
        <v>13750</v>
      </c>
      <c r="N12">
        <v>3.3393269999999999</v>
      </c>
      <c r="O12" s="2">
        <f>AVERAGEIFS(Data!H$2:H$811,Data!$C$2:$C$811,$A12,Data!$D$2:$D$811,$C12)</f>
        <v>13.282512987032291</v>
      </c>
      <c r="P12">
        <f t="shared" si="3"/>
        <v>44.354654245447577</v>
      </c>
      <c r="Q12" s="13">
        <f>P12/D12</f>
        <v>0.1199955052693155</v>
      </c>
    </row>
    <row r="13" spans="1:17" x14ac:dyDescent="0.35">
      <c r="A13" s="3">
        <v>6000</v>
      </c>
      <c r="B13" s="3" t="str">
        <f t="shared" si="0"/>
        <v/>
      </c>
      <c r="C13" t="s">
        <v>9</v>
      </c>
      <c r="D13" s="2">
        <f>AVERAGEIFS(Data!E$2:E$811,Data!$C$2:$C$811,$A13,Data!$D$2:$D$811,$C13)</f>
        <v>374.82024884121557</v>
      </c>
      <c r="E13" s="2">
        <f>AVERAGEIFS(Data!F$2:F$811,Data!$C$2:$C$811,$A13,Data!$D$2:$D$811,$C13)</f>
        <v>508.59595201456443</v>
      </c>
      <c r="F13" s="2">
        <f>AVERAGEIFS(Data!K$2:K$811,Data!$C$2:$C$811,$A13,Data!$D$2:$D$811,$C13)</f>
        <v>36.331180608522175</v>
      </c>
      <c r="G13" s="6">
        <f>F13/D13</f>
        <v>9.6929610182061129E-2</v>
      </c>
      <c r="H13" s="2">
        <f>(G13*D13)/E13</f>
        <v>7.1434270101075781E-2</v>
      </c>
      <c r="I13" s="2">
        <f>F13*SQRT(1-$J$1)</f>
        <v>31.463725356460781</v>
      </c>
      <c r="J13" s="6">
        <f t="shared" si="1"/>
        <v>8.3943504796587715E-2</v>
      </c>
      <c r="K13" s="2">
        <f t="shared" si="2"/>
        <v>6.1863892608330806E-2</v>
      </c>
      <c r="O13" s="2">
        <f>AVERAGEIFS(Data!H$2:H$811,Data!$C$2:$C$811,$A13,Data!$D$2:$D$811,$C13)</f>
        <v>12.968080785884478</v>
      </c>
      <c r="P13" t="str">
        <f t="shared" si="3"/>
        <v/>
      </c>
      <c r="Q13" s="13"/>
    </row>
    <row r="14" spans="1:17" x14ac:dyDescent="0.35">
      <c r="A14" s="3">
        <v>6500</v>
      </c>
      <c r="B14" s="3" t="str">
        <f t="shared" si="0"/>
        <v/>
      </c>
      <c r="C14" t="s">
        <v>9</v>
      </c>
      <c r="D14" s="2">
        <f>AVERAGEIFS(Data!E$2:E$811,Data!$C$2:$C$811,$A14,Data!$D$2:$D$811,$C14)</f>
        <v>373.03972783413599</v>
      </c>
      <c r="E14" s="2">
        <f>AVERAGEIFS(Data!F$2:F$811,Data!$C$2:$C$811,$A14,Data!$D$2:$D$811,$C14)</f>
        <v>500.40382357944935</v>
      </c>
      <c r="F14" s="2">
        <f>AVERAGEIFS(Data!K$2:K$811,Data!$C$2:$C$811,$A14,Data!$D$2:$D$811,$C14)</f>
        <v>34.734195176297611</v>
      </c>
      <c r="G14" s="6">
        <f>F14/D14</f>
        <v>9.3111249512120103E-2</v>
      </c>
      <c r="H14" s="2">
        <f>(G14*D14)/E14</f>
        <v>6.9412329681735233E-2</v>
      </c>
      <c r="I14" s="2">
        <f>F14*SQRT(1-$J$1)</f>
        <v>30.080695402680639</v>
      </c>
      <c r="J14" s="6">
        <f t="shared" si="1"/>
        <v>8.0636707455607429E-2</v>
      </c>
      <c r="K14" s="2">
        <f t="shared" si="2"/>
        <v>6.0112840840243327E-2</v>
      </c>
      <c r="O14" s="2">
        <f>AVERAGEIFS(Data!H$2:H$811,Data!$C$2:$C$811,$A14,Data!$D$2:$D$811,$C14)</f>
        <v>12.398051523083399</v>
      </c>
      <c r="P14" t="str">
        <f t="shared" si="3"/>
        <v/>
      </c>
      <c r="Q14" s="13"/>
    </row>
    <row r="15" spans="1:17" x14ac:dyDescent="0.35">
      <c r="A15" s="3">
        <v>7000</v>
      </c>
      <c r="B15" s="3" t="str">
        <f t="shared" si="0"/>
        <v>OLS4</v>
      </c>
      <c r="C15" t="s">
        <v>9</v>
      </c>
      <c r="D15" s="2">
        <f>AVERAGEIFS(Data!E$2:E$811,Data!$C$2:$C$811,$A15,Data!$D$2:$D$811,$C15)</f>
        <v>370.3618083996995</v>
      </c>
      <c r="E15" s="2">
        <f>AVERAGEIFS(Data!F$2:F$811,Data!$C$2:$C$811,$A15,Data!$D$2:$D$811,$C15)</f>
        <v>487.55659091417812</v>
      </c>
      <c r="F15" s="2">
        <f>AVERAGEIFS(Data!K$2:K$811,Data!$C$2:$C$811,$A15,Data!$D$2:$D$811,$C15)</f>
        <v>33.182833509509251</v>
      </c>
      <c r="G15" s="6">
        <f>F15/D15</f>
        <v>8.9595721688716587E-2</v>
      </c>
      <c r="H15" s="2">
        <f>(G15*D15)/E15</f>
        <v>6.8059450180523229E-2</v>
      </c>
      <c r="I15" s="2">
        <f>F15*SQRT(1-$J$1)</f>
        <v>28.737176788784549</v>
      </c>
      <c r="J15" s="6">
        <f t="shared" si="1"/>
        <v>7.7592171052828965E-2</v>
      </c>
      <c r="K15" s="2">
        <f t="shared" si="2"/>
        <v>5.8941212823934518E-2</v>
      </c>
      <c r="L15">
        <v>4</v>
      </c>
      <c r="M15" s="3">
        <f>A15/2*L15</f>
        <v>14000</v>
      </c>
      <c r="N15">
        <v>3.2356009999999999</v>
      </c>
      <c r="O15" s="2">
        <f>AVERAGEIFS(Data!H$2:H$811,Data!$C$2:$C$811,$A15,Data!$D$2:$D$811,$C15)</f>
        <v>11.84430724375996</v>
      </c>
      <c r="P15">
        <f t="shared" si="3"/>
        <v>38.323452362216969</v>
      </c>
      <c r="Q15" s="13">
        <f>P15/D15</f>
        <v>0.10347571345925004</v>
      </c>
    </row>
    <row r="16" spans="1:17" x14ac:dyDescent="0.35">
      <c r="A16" s="3">
        <v>7500</v>
      </c>
      <c r="B16" s="3" t="str">
        <f t="shared" si="0"/>
        <v/>
      </c>
      <c r="C16" t="s">
        <v>9</v>
      </c>
      <c r="D16" s="2">
        <f>AVERAGEIFS(Data!E$2:E$811,Data!$C$2:$C$811,$A16,Data!$D$2:$D$811,$C16)</f>
        <v>366.4991341562669</v>
      </c>
      <c r="E16" s="2">
        <f>AVERAGEIFS(Data!F$2:F$811,Data!$C$2:$C$811,$A16,Data!$D$2:$D$811,$C16)</f>
        <v>487.94351754547978</v>
      </c>
      <c r="F16" s="2">
        <f>AVERAGEIFS(Data!K$2:K$811,Data!$C$2:$C$811,$A16,Data!$D$2:$D$811,$C16)</f>
        <v>31.868034365559851</v>
      </c>
      <c r="G16" s="6">
        <f>F16/D16</f>
        <v>8.6952550212498037E-2</v>
      </c>
      <c r="H16" s="2">
        <f>(G16*D16)/E16</f>
        <v>6.5310908372892815E-2</v>
      </c>
      <c r="I16" s="2">
        <f>F16*SQRT(1-$J$1)</f>
        <v>27.598527329250334</v>
      </c>
      <c r="J16" s="6">
        <f t="shared" si="1"/>
        <v>7.5303117407865272E-2</v>
      </c>
      <c r="K16" s="2">
        <f t="shared" si="2"/>
        <v>5.6560905795162972E-2</v>
      </c>
      <c r="O16" s="2">
        <f>AVERAGEIFS(Data!H$2:H$811,Data!$C$2:$C$811,$A16,Data!$D$2:$D$811,$C16)</f>
        <v>11.37500178133444</v>
      </c>
      <c r="P16" t="str">
        <f t="shared" si="3"/>
        <v/>
      </c>
      <c r="Q16" s="13"/>
    </row>
    <row r="17" spans="1:17" x14ac:dyDescent="0.35">
      <c r="A17" s="3">
        <v>8000</v>
      </c>
      <c r="B17" s="3" t="str">
        <f t="shared" si="0"/>
        <v/>
      </c>
      <c r="C17" t="s">
        <v>9</v>
      </c>
      <c r="D17" s="2">
        <f>AVERAGEIFS(Data!E$2:E$811,Data!$C$2:$C$811,$A17,Data!$D$2:$D$811,$C17)</f>
        <v>372.56038491284596</v>
      </c>
      <c r="E17" s="2">
        <f>AVERAGEIFS(Data!F$2:F$811,Data!$C$2:$C$811,$A17,Data!$D$2:$D$811,$C17)</f>
        <v>504.52570115759306</v>
      </c>
      <c r="F17" s="2">
        <f>AVERAGEIFS(Data!K$2:K$811,Data!$C$2:$C$811,$A17,Data!$D$2:$D$811,$C17)</f>
        <v>31.078179596417623</v>
      </c>
      <c r="G17" s="6">
        <f>F17/D17</f>
        <v>8.3417831994370056E-2</v>
      </c>
      <c r="H17" s="2">
        <f>(G17*D17)/E17</f>
        <v>6.1598803638964833E-2</v>
      </c>
      <c r="I17" s="2">
        <f>F17*SQRT(1-$J$1)</f>
        <v>26.914493033872873</v>
      </c>
      <c r="J17" s="6">
        <f t="shared" si="1"/>
        <v>7.2241961635746782E-2</v>
      </c>
      <c r="K17" s="2">
        <f t="shared" si="2"/>
        <v>5.3346128794072856E-2</v>
      </c>
      <c r="O17" s="2">
        <f>AVERAGEIFS(Data!H$2:H$811,Data!$C$2:$C$811,$A17,Data!$D$2:$D$811,$C17)</f>
        <v>11.09307038566298</v>
      </c>
      <c r="P17" t="str">
        <f t="shared" si="3"/>
        <v/>
      </c>
      <c r="Q17" s="13"/>
    </row>
    <row r="18" spans="1:17" x14ac:dyDescent="0.35">
      <c r="A18" s="3">
        <v>8500</v>
      </c>
      <c r="B18" s="3" t="str">
        <f t="shared" si="0"/>
        <v/>
      </c>
      <c r="C18" t="s">
        <v>9</v>
      </c>
      <c r="D18" s="2">
        <f>AVERAGEIFS(Data!E$2:E$811,Data!$C$2:$C$811,$A18,Data!$D$2:$D$811,$C18)</f>
        <v>372.00888211229426</v>
      </c>
      <c r="E18" s="2">
        <f>AVERAGEIFS(Data!F$2:F$811,Data!$C$2:$C$811,$A18,Data!$D$2:$D$811,$C18)</f>
        <v>498.20490338263397</v>
      </c>
      <c r="F18" s="2">
        <f>AVERAGEIFS(Data!K$2:K$811,Data!$C$2:$C$811,$A18,Data!$D$2:$D$811,$C18)</f>
        <v>30.221737215404119</v>
      </c>
      <c r="G18" s="6">
        <f>F18/D18</f>
        <v>8.123928935191771E-2</v>
      </c>
      <c r="H18" s="2">
        <f>(G18*D18)/E18</f>
        <v>6.0661260076344654E-2</v>
      </c>
      <c r="I18" s="2">
        <f>F18*SQRT(1-$J$1)</f>
        <v>26.172792175037547</v>
      </c>
      <c r="J18" s="6">
        <f t="shared" si="1"/>
        <v>7.0355288364155374E-2</v>
      </c>
      <c r="K18" s="2">
        <f t="shared" si="2"/>
        <v>5.2534192251689212E-2</v>
      </c>
      <c r="O18" s="2">
        <f>AVERAGEIFS(Data!H$2:H$811,Data!$C$2:$C$811,$A18,Data!$D$2:$D$811,$C18)</f>
        <v>10.787371154330181</v>
      </c>
      <c r="P18" t="str">
        <f t="shared" si="3"/>
        <v/>
      </c>
      <c r="Q18" s="13"/>
    </row>
    <row r="19" spans="1:17" x14ac:dyDescent="0.35">
      <c r="A19" s="3">
        <v>9000</v>
      </c>
      <c r="B19" s="3" t="str">
        <f t="shared" si="0"/>
        <v/>
      </c>
      <c r="C19" t="s">
        <v>9</v>
      </c>
      <c r="D19" s="2">
        <f>AVERAGEIFS(Data!E$2:E$811,Data!$C$2:$C$811,$A19,Data!$D$2:$D$811,$C19)</f>
        <v>371.81327181450285</v>
      </c>
      <c r="E19" s="2">
        <f>AVERAGEIFS(Data!F$2:F$811,Data!$C$2:$C$811,$A19,Data!$D$2:$D$811,$C19)</f>
        <v>496.50735813442668</v>
      </c>
      <c r="F19" s="2">
        <f>AVERAGEIFS(Data!K$2:K$811,Data!$C$2:$C$811,$A19,Data!$D$2:$D$811,$C19)</f>
        <v>29.146021460880753</v>
      </c>
      <c r="G19" s="6">
        <f>F19/D19</f>
        <v>7.8388867935358861E-2</v>
      </c>
      <c r="H19" s="2">
        <f>(G19*D19)/E19</f>
        <v>5.8702093701881501E-2</v>
      </c>
      <c r="I19" s="2">
        <f>F19*SQRT(1-$J$1)</f>
        <v>25.241195004369168</v>
      </c>
      <c r="J19" s="6">
        <f t="shared" si="1"/>
        <v>6.7886751005924201E-2</v>
      </c>
      <c r="K19" s="2">
        <f t="shared" si="2"/>
        <v>5.0837504401163885E-2</v>
      </c>
      <c r="O19" s="2">
        <f>AVERAGEIFS(Data!H$2:H$811,Data!$C$2:$C$811,$A19,Data!$D$2:$D$811,$C19)</f>
        <v>10.40340430894681</v>
      </c>
      <c r="P19" t="str">
        <f t="shared" si="3"/>
        <v/>
      </c>
      <c r="Q19" s="13"/>
    </row>
    <row r="20" spans="1:17" x14ac:dyDescent="0.35">
      <c r="A20" s="3">
        <v>9500</v>
      </c>
      <c r="B20" s="3" t="str">
        <f t="shared" si="0"/>
        <v>OLS3</v>
      </c>
      <c r="C20" t="s">
        <v>9</v>
      </c>
      <c r="D20" s="2">
        <f>AVERAGEIFS(Data!E$2:E$811,Data!$C$2:$C$811,$A20,Data!$D$2:$D$811,$C20)</f>
        <v>366.81752117056004</v>
      </c>
      <c r="E20" s="2">
        <f>AVERAGEIFS(Data!F$2:F$811,Data!$C$2:$C$811,$A20,Data!$D$2:$D$811,$C20)</f>
        <v>490.18685875069241</v>
      </c>
      <c r="F20" s="2">
        <f>AVERAGEIFS(Data!K$2:K$811,Data!$C$2:$C$811,$A20,Data!$D$2:$D$811,$C20)</f>
        <v>28.063865652349158</v>
      </c>
      <c r="G20" s="6">
        <f>F20/D20</f>
        <v>7.6506339072337365E-2</v>
      </c>
      <c r="H20" s="2">
        <f>(G20*D20)/E20</f>
        <v>5.725136272292921E-2</v>
      </c>
      <c r="I20" s="2">
        <f>F20*SQRT(1-$J$1)</f>
        <v>24.304020583327915</v>
      </c>
      <c r="J20" s="6">
        <f t="shared" si="1"/>
        <v>6.6256433187190142E-2</v>
      </c>
      <c r="K20" s="2">
        <f t="shared" si="2"/>
        <v>4.9581134519334123E-2</v>
      </c>
      <c r="L20">
        <v>3</v>
      </c>
      <c r="M20" s="3">
        <f>A20/2*L20</f>
        <v>14250</v>
      </c>
      <c r="N20">
        <v>3.083024</v>
      </c>
      <c r="O20" s="2">
        <f>AVERAGEIFS(Data!H$2:H$811,Data!$C$2:$C$811,$A20,Data!$D$2:$D$811,$C20)</f>
        <v>10.017138745513401</v>
      </c>
      <c r="P20">
        <f t="shared" si="3"/>
        <v>30.883079163747709</v>
      </c>
      <c r="Q20" s="13">
        <f>P20/D20</f>
        <v>8.4191941173355045E-2</v>
      </c>
    </row>
    <row r="21" spans="1:17" x14ac:dyDescent="0.35">
      <c r="A21" s="3">
        <v>10000</v>
      </c>
      <c r="B21" s="3" t="str">
        <f t="shared" si="0"/>
        <v/>
      </c>
      <c r="C21" t="s">
        <v>9</v>
      </c>
      <c r="D21" s="2">
        <f>AVERAGEIFS(Data!E$2:E$811,Data!$C$2:$C$811,$A21,Data!$D$2:$D$811,$C21)</f>
        <v>363.01858572239877</v>
      </c>
      <c r="E21" s="2">
        <f>AVERAGEIFS(Data!F$2:F$811,Data!$C$2:$C$811,$A21,Data!$D$2:$D$811,$C21)</f>
        <v>482.63082252909152</v>
      </c>
      <c r="F21" s="2">
        <f>AVERAGEIFS(Data!K$2:K$811,Data!$C$2:$C$811,$A21,Data!$D$2:$D$811,$C21)</f>
        <v>27.361055329917935</v>
      </c>
      <c r="G21" s="6">
        <f>F21/D21</f>
        <v>7.5370949053393657E-2</v>
      </c>
      <c r="H21" s="2">
        <f>(G21*D21)/E21</f>
        <v>5.6691479393172602E-2</v>
      </c>
      <c r="I21" s="2">
        <f>F21*SQRT(1-$J$1)</f>
        <v>23.695368990060544</v>
      </c>
      <c r="J21" s="6">
        <f t="shared" si="1"/>
        <v>6.5273156587581579E-2</v>
      </c>
      <c r="K21" s="2">
        <f t="shared" si="2"/>
        <v>4.909626133260947E-2</v>
      </c>
      <c r="O21" s="2">
        <f>AVERAGEIFS(Data!H$2:H$811,Data!$C$2:$C$811,$A21,Data!$D$2:$D$811,$C21)</f>
        <v>9.7662770645609296</v>
      </c>
      <c r="P21" t="str">
        <f t="shared" si="3"/>
        <v/>
      </c>
      <c r="Q21" s="13"/>
    </row>
    <row r="22" spans="1:17" x14ac:dyDescent="0.35">
      <c r="A22" s="3">
        <v>10500</v>
      </c>
      <c r="B22" s="3" t="str">
        <f t="shared" si="0"/>
        <v/>
      </c>
      <c r="C22" t="s">
        <v>9</v>
      </c>
      <c r="D22" s="2">
        <f>AVERAGEIFS(Data!E$2:E$811,Data!$C$2:$C$811,$A22,Data!$D$2:$D$811,$C22)</f>
        <v>367.00261209903817</v>
      </c>
      <c r="E22" s="2">
        <f>AVERAGEIFS(Data!F$2:F$811,Data!$C$2:$C$811,$A22,Data!$D$2:$D$811,$C22)</f>
        <v>490.63257028419912</v>
      </c>
      <c r="F22" s="2">
        <f>AVERAGEIFS(Data!K$2:K$811,Data!$C$2:$C$811,$A22,Data!$D$2:$D$811,$C22)</f>
        <v>26.590756341519544</v>
      </c>
      <c r="G22" s="6">
        <f>F22/D22</f>
        <v>7.2453861266643646E-2</v>
      </c>
      <c r="H22" s="2">
        <f>(G22*D22)/E22</f>
        <v>5.4196883680422678E-2</v>
      </c>
      <c r="I22" s="2">
        <f>F22*SQRT(1-$J$1)</f>
        <v>23.028270497598083</v>
      </c>
      <c r="J22" s="6">
        <f t="shared" si="1"/>
        <v>6.2746884459186747E-2</v>
      </c>
      <c r="K22" s="2">
        <f t="shared" si="2"/>
        <v>4.693587807319629E-2</v>
      </c>
      <c r="O22" s="2">
        <f>AVERAGEIFS(Data!H$2:H$811,Data!$C$2:$C$811,$A22,Data!$D$2:$D$811,$C22)</f>
        <v>9.4913259249744506</v>
      </c>
      <c r="P22" t="str">
        <f t="shared" si="3"/>
        <v/>
      </c>
      <c r="Q22" s="13"/>
    </row>
    <row r="23" spans="1:17" x14ac:dyDescent="0.35">
      <c r="A23" s="3">
        <v>11000</v>
      </c>
      <c r="B23" s="3" t="str">
        <f t="shared" si="0"/>
        <v/>
      </c>
      <c r="C23" t="s">
        <v>9</v>
      </c>
      <c r="D23" s="2">
        <f>AVERAGEIFS(Data!E$2:E$811,Data!$C$2:$C$811,$A23,Data!$D$2:$D$811,$C23)</f>
        <v>365.37411281853372</v>
      </c>
      <c r="E23" s="2">
        <f>AVERAGEIFS(Data!F$2:F$811,Data!$C$2:$C$811,$A23,Data!$D$2:$D$811,$C23)</f>
        <v>480.01567226212393</v>
      </c>
      <c r="F23" s="2">
        <f>AVERAGEIFS(Data!K$2:K$811,Data!$C$2:$C$811,$A23,Data!$D$2:$D$811,$C23)</f>
        <v>25.909046530909183</v>
      </c>
      <c r="G23" s="6">
        <f>F23/D23</f>
        <v>7.091100770945187E-2</v>
      </c>
      <c r="H23" s="2">
        <f>(G23*D23)/E23</f>
        <v>5.3975417945856016E-2</v>
      </c>
      <c r="I23" s="2">
        <f>F23*SQRT(1-$J$1)</f>
        <v>22.437892483600432</v>
      </c>
      <c r="J23" s="6">
        <f t="shared" si="1"/>
        <v>6.1410734084339495E-2</v>
      </c>
      <c r="K23" s="2">
        <f t="shared" si="2"/>
        <v>4.6744083120993783E-2</v>
      </c>
      <c r="O23" s="2">
        <f>AVERAGEIFS(Data!H$2:H$811,Data!$C$2:$C$811,$A23,Data!$D$2:$D$811,$C23)</f>
        <v>9.2479958776582496</v>
      </c>
      <c r="P23" t="str">
        <f t="shared" si="3"/>
        <v/>
      </c>
      <c r="Q23" s="13"/>
    </row>
    <row r="24" spans="1:17" x14ac:dyDescent="0.35">
      <c r="A24" s="3">
        <v>11500</v>
      </c>
      <c r="B24" s="3" t="str">
        <f t="shared" si="0"/>
        <v/>
      </c>
      <c r="C24" t="s">
        <v>9</v>
      </c>
      <c r="D24" s="2">
        <f>AVERAGEIFS(Data!E$2:E$811,Data!$C$2:$C$811,$A24,Data!$D$2:$D$811,$C24)</f>
        <v>363.50026129812966</v>
      </c>
      <c r="E24" s="2">
        <f>AVERAGEIFS(Data!F$2:F$811,Data!$C$2:$C$811,$A24,Data!$D$2:$D$811,$C24)</f>
        <v>473.63935514661307</v>
      </c>
      <c r="F24" s="2">
        <f>AVERAGEIFS(Data!K$2:K$811,Data!$C$2:$C$811,$A24,Data!$D$2:$D$811,$C24)</f>
        <v>25.322584378871944</v>
      </c>
      <c r="G24" s="6">
        <f>F24/D24</f>
        <v>6.9663180676789893E-2</v>
      </c>
      <c r="H24" s="2">
        <f>(G24*D24)/E24</f>
        <v>5.3463851987201202E-2</v>
      </c>
      <c r="I24" s="2">
        <f>F24*SQRT(1-$J$1)</f>
        <v>21.930001361578093</v>
      </c>
      <c r="J24" s="6">
        <f t="shared" si="1"/>
        <v>6.0330084174525268E-2</v>
      </c>
      <c r="K24" s="2">
        <f t="shared" si="2"/>
        <v>4.6301054005087376E-2</v>
      </c>
      <c r="O24" s="2">
        <f>AVERAGEIFS(Data!H$2:H$811,Data!$C$2:$C$811,$A24,Data!$D$2:$D$811,$C24)</f>
        <v>9.0386636060915304</v>
      </c>
      <c r="P24" t="str">
        <f t="shared" si="3"/>
        <v/>
      </c>
      <c r="Q24" s="13"/>
    </row>
    <row r="25" spans="1:17" x14ac:dyDescent="0.35">
      <c r="A25" s="3">
        <v>12000</v>
      </c>
      <c r="B25" s="3" t="str">
        <f t="shared" si="0"/>
        <v/>
      </c>
      <c r="C25" t="s">
        <v>9</v>
      </c>
      <c r="D25" s="2">
        <f>AVERAGEIFS(Data!E$2:E$811,Data!$C$2:$C$811,$A25,Data!$D$2:$D$811,$C25)</f>
        <v>370.28728873917896</v>
      </c>
      <c r="E25" s="2">
        <f>AVERAGEIFS(Data!F$2:F$811,Data!$C$2:$C$811,$A25,Data!$D$2:$D$811,$C25)</f>
        <v>490.52498152681011</v>
      </c>
      <c r="F25" s="2">
        <f>AVERAGEIFS(Data!K$2:K$811,Data!$C$2:$C$811,$A25,Data!$D$2:$D$811,$C25)</f>
        <v>24.959790663420048</v>
      </c>
      <c r="G25" s="6">
        <f>F25/D25</f>
        <v>6.7406555457001111E-2</v>
      </c>
      <c r="H25" s="2">
        <f>(G25*D25)/E25</f>
        <v>5.0883831819798664E-2</v>
      </c>
      <c r="I25" s="2">
        <f>F25*SQRT(1-$J$1)</f>
        <v>21.615812787663408</v>
      </c>
      <c r="J25" s="6">
        <f t="shared" si="1"/>
        <v>5.837578940736754E-2</v>
      </c>
      <c r="K25" s="2">
        <f t="shared" si="2"/>
        <v>4.40666909978406E-2</v>
      </c>
      <c r="O25" s="2">
        <f>AVERAGEIFS(Data!H$2:H$811,Data!$C$2:$C$811,$A25,Data!$D$2:$D$811,$C25)</f>
        <v>8.9091677259194508</v>
      </c>
      <c r="P25" t="str">
        <f t="shared" si="3"/>
        <v/>
      </c>
      <c r="Q25" s="13"/>
    </row>
    <row r="26" spans="1:17" x14ac:dyDescent="0.35">
      <c r="A26" s="3">
        <v>12500</v>
      </c>
      <c r="B26" s="3" t="str">
        <f t="shared" si="0"/>
        <v/>
      </c>
      <c r="C26" t="s">
        <v>9</v>
      </c>
      <c r="D26" s="2">
        <f>AVERAGEIFS(Data!E$2:E$811,Data!$C$2:$C$811,$A26,Data!$D$2:$D$811,$C26)</f>
        <v>366.66109849394911</v>
      </c>
      <c r="E26" s="2">
        <f>AVERAGEIFS(Data!F$2:F$811,Data!$C$2:$C$811,$A26,Data!$D$2:$D$811,$C26)</f>
        <v>494.25866390938262</v>
      </c>
      <c r="F26" s="2">
        <f>AVERAGEIFS(Data!K$2:K$811,Data!$C$2:$C$811,$A26,Data!$D$2:$D$811,$C26)</f>
        <v>24.760766888702861</v>
      </c>
      <c r="G26" s="6">
        <f>F26/D26</f>
        <v>6.7530389753390971E-2</v>
      </c>
      <c r="H26" s="2">
        <f>(G26*D26)/E26</f>
        <v>5.009677866414193E-2</v>
      </c>
      <c r="I26" s="2">
        <f>F26*SQRT(1-$J$1)</f>
        <v>21.443453142801253</v>
      </c>
      <c r="J26" s="6">
        <f t="shared" si="1"/>
        <v>5.8483033053900936E-2</v>
      </c>
      <c r="K26" s="2">
        <f t="shared" si="2"/>
        <v>4.3385082970913175E-2</v>
      </c>
      <c r="O26" s="2">
        <f>AVERAGEIFS(Data!H$2:H$811,Data!$C$2:$C$811,$A26,Data!$D$2:$D$811,$C26)</f>
        <v>8.8381280199254562</v>
      </c>
      <c r="P26" t="str">
        <f t="shared" si="3"/>
        <v/>
      </c>
      <c r="Q26" s="13"/>
    </row>
    <row r="27" spans="1:17" x14ac:dyDescent="0.35">
      <c r="A27" s="3">
        <v>13000</v>
      </c>
      <c r="B27" s="3" t="str">
        <f t="shared" si="0"/>
        <v/>
      </c>
      <c r="C27" t="s">
        <v>9</v>
      </c>
      <c r="D27" s="2">
        <f>AVERAGEIFS(Data!E$2:E$811,Data!$C$2:$C$811,$A27,Data!$D$2:$D$811,$C27)</f>
        <v>370.54841474819739</v>
      </c>
      <c r="E27" s="2">
        <f>AVERAGEIFS(Data!F$2:F$811,Data!$C$2:$C$811,$A27,Data!$D$2:$D$811,$C27)</f>
        <v>496.0674512116683</v>
      </c>
      <c r="F27" s="2">
        <f>AVERAGEIFS(Data!K$2:K$811,Data!$C$2:$C$811,$A27,Data!$D$2:$D$811,$C27)</f>
        <v>24.302422377073746</v>
      </c>
      <c r="G27" s="13">
        <f>F27/D27</f>
        <v>6.5585012402733456E-2</v>
      </c>
      <c r="H27" s="2">
        <f>(G27*D27)/E27</f>
        <v>4.8990157120193889E-2</v>
      </c>
      <c r="I27" s="2">
        <f>F27*SQRT(1-$J$1)</f>
        <v>21.046515152045266</v>
      </c>
      <c r="J27" s="6">
        <f t="shared" si="1"/>
        <v>5.6798286848284654E-2</v>
      </c>
      <c r="K27" s="2">
        <f t="shared" si="2"/>
        <v>4.2426720601479E-2</v>
      </c>
      <c r="O27" s="2">
        <f>AVERAGEIFS(Data!H$2:H$811,Data!$C$2:$C$811,$A27,Data!$D$2:$D$811,$C27)</f>
        <v>8.6745261618240193</v>
      </c>
      <c r="P27" t="str">
        <f t="shared" si="3"/>
        <v/>
      </c>
      <c r="Q27" s="13"/>
    </row>
    <row r="28" spans="1:17" x14ac:dyDescent="0.35">
      <c r="A28" s="3">
        <v>13500</v>
      </c>
      <c r="B28" s="3" t="str">
        <f t="shared" si="0"/>
        <v/>
      </c>
      <c r="C28" t="s">
        <v>9</v>
      </c>
      <c r="D28" s="2">
        <f>AVERAGEIFS(Data!E$2:E$811,Data!$C$2:$C$811,$A28,Data!$D$2:$D$811,$C28)</f>
        <v>369.16672453040735</v>
      </c>
      <c r="E28" s="2">
        <f>AVERAGEIFS(Data!F$2:F$811,Data!$C$2:$C$811,$A28,Data!$D$2:$D$811,$C28)</f>
        <v>490.45823445694839</v>
      </c>
      <c r="F28" s="2">
        <f>AVERAGEIFS(Data!K$2:K$811,Data!$C$2:$C$811,$A28,Data!$D$2:$D$811,$C28)</f>
        <v>23.766963825587936</v>
      </c>
      <c r="G28" s="13">
        <f>F28/D28</f>
        <v>6.4380027359779851E-2</v>
      </c>
      <c r="H28" s="2">
        <f>(G28*D28)/E28</f>
        <v>4.8458690579236588E-2</v>
      </c>
      <c r="I28" s="2">
        <f>F28*SQRT(1-$J$1)</f>
        <v>20.582794443784937</v>
      </c>
      <c r="J28" s="6">
        <f t="shared" si="1"/>
        <v>5.5754739189906546E-2</v>
      </c>
      <c r="K28" s="2">
        <f t="shared" si="2"/>
        <v>4.1966457075748538E-2</v>
      </c>
      <c r="O28" s="2">
        <f>AVERAGEIFS(Data!H$2:H$811,Data!$C$2:$C$811,$A28,Data!$D$2:$D$811,$C28)</f>
        <v>8.4833991564018003</v>
      </c>
      <c r="P28" t="str">
        <f t="shared" si="3"/>
        <v/>
      </c>
      <c r="Q28" s="13"/>
    </row>
    <row r="29" spans="1:17" x14ac:dyDescent="0.35">
      <c r="A29" s="3">
        <v>14000</v>
      </c>
      <c r="B29" s="3" t="str">
        <f t="shared" si="0"/>
        <v>OLS2</v>
      </c>
      <c r="C29" t="s">
        <v>9</v>
      </c>
      <c r="D29" s="2">
        <f>AVERAGEIFS(Data!E$2:E$811,Data!$C$2:$C$811,$A29,Data!$D$2:$D$811,$C29)</f>
        <v>373.621233943927</v>
      </c>
      <c r="E29" s="2">
        <f>AVERAGEIFS(Data!F$2:F$811,Data!$C$2:$C$811,$A29,Data!$D$2:$D$811,$C29)</f>
        <v>495.81395459782254</v>
      </c>
      <c r="F29" s="2">
        <f>AVERAGEIFS(Data!K$2:K$811,Data!$C$2:$C$811,$A29,Data!$D$2:$D$811,$C29)</f>
        <v>23.484919450094544</v>
      </c>
      <c r="G29" s="13">
        <f>F29/D29</f>
        <v>6.2857560856991221E-2</v>
      </c>
      <c r="H29" s="2">
        <f>(G29*D29)/E29</f>
        <v>4.7366394657335213E-2</v>
      </c>
      <c r="I29" s="2">
        <f>F29*SQRT(1-$J$1)</f>
        <v>20.338536849613142</v>
      </c>
      <c r="J29" s="6">
        <f t="shared" si="1"/>
        <v>5.4436244522080741E-2</v>
      </c>
      <c r="K29" s="2">
        <f t="shared" si="2"/>
        <v>4.1020501058931798E-2</v>
      </c>
      <c r="L29">
        <v>2</v>
      </c>
      <c r="M29" s="3">
        <f>A29/2*L29</f>
        <v>14000</v>
      </c>
      <c r="N29">
        <v>2.8015850000000002</v>
      </c>
      <c r="O29" s="2">
        <f>AVERAGEIFS(Data!H$2:H$811,Data!$C$2:$C$811,$A29,Data!$D$2:$D$811,$C29)</f>
        <v>8.3827260104885433</v>
      </c>
      <c r="P29">
        <f t="shared" si="3"/>
        <v>23.484919450094548</v>
      </c>
      <c r="Q29" s="13">
        <f>P29/D29</f>
        <v>6.2857560856991235E-2</v>
      </c>
    </row>
    <row r="30" spans="1:17" x14ac:dyDescent="0.35">
      <c r="A30" s="3">
        <v>1000</v>
      </c>
      <c r="B30" s="3" t="str">
        <f t="shared" si="0"/>
        <v/>
      </c>
      <c r="C30" t="s">
        <v>10</v>
      </c>
      <c r="D30" s="2">
        <v>352.9671442021355</v>
      </c>
      <c r="E30" s="2">
        <v>502.718968031055</v>
      </c>
      <c r="F30" s="6">
        <f>AVERAGEIFS(Data!K$2:K$811,Data!$C$2:$C$811,$A30,Data!$D$2:$D$811,$C30)</f>
        <v>0.26183723816216781</v>
      </c>
      <c r="G30" s="6">
        <f>F30</f>
        <v>0.26183723816216781</v>
      </c>
      <c r="H30" s="2">
        <f>(G30*D30)/E30</f>
        <v>0.18384017329174185</v>
      </c>
      <c r="I30" s="6">
        <f>F30*SQRT(1-$J$1)</f>
        <v>0.22675769990519359</v>
      </c>
      <c r="J30" s="6">
        <f>I30</f>
        <v>0.22675769990519359</v>
      </c>
      <c r="K30" s="2">
        <f t="shared" si="2"/>
        <v>0.15921026030678193</v>
      </c>
      <c r="O30" s="2">
        <f>AVERAGEIFS(Data!H$2:H$811,Data!$C$2:$C$811,$A30,Data!$D$2:$D$811,$C30)</f>
        <v>9.3460394084836917E-2</v>
      </c>
      <c r="P30" t="str">
        <f t="shared" si="3"/>
        <v/>
      </c>
      <c r="Q30" s="13"/>
    </row>
    <row r="31" spans="1:17" x14ac:dyDescent="0.35">
      <c r="A31" s="3">
        <v>1500</v>
      </c>
      <c r="B31" s="3" t="str">
        <f t="shared" si="0"/>
        <v/>
      </c>
      <c r="C31" t="s">
        <v>10</v>
      </c>
      <c r="D31" s="2">
        <v>365.79894359904409</v>
      </c>
      <c r="E31" s="2">
        <v>500.69934275406104</v>
      </c>
      <c r="F31" s="6">
        <f>AVERAGEIFS(Data!K$2:K$811,Data!$C$2:$C$811,$A31,Data!$D$2:$D$811,$C31)</f>
        <v>0.20875108079228077</v>
      </c>
      <c r="G31" s="6">
        <f>F31</f>
        <v>0.20875108079228077</v>
      </c>
      <c r="H31" s="2">
        <f>(G31*D31)/E31</f>
        <v>0.15250853817573876</v>
      </c>
      <c r="I31" s="6">
        <f>F31*SQRT(1-$J$1)</f>
        <v>0.18078373903357292</v>
      </c>
      <c r="J31" s="6">
        <f t="shared" ref="J31:J83" si="4">I31</f>
        <v>0.18078373903357292</v>
      </c>
      <c r="K31" s="2">
        <f t="shared" si="2"/>
        <v>0.13207626835421862</v>
      </c>
      <c r="O31" s="2">
        <f>AVERAGEIFS(Data!H$2:H$811,Data!$C$2:$C$811,$A31,Data!$D$2:$D$811,$C31)</f>
        <v>7.4511778436949366E-2</v>
      </c>
      <c r="P31" t="str">
        <f t="shared" si="3"/>
        <v/>
      </c>
      <c r="Q31" s="13"/>
    </row>
    <row r="32" spans="1:17" x14ac:dyDescent="0.35">
      <c r="A32" s="3">
        <v>2000</v>
      </c>
      <c r="B32" s="3" t="str">
        <f t="shared" si="0"/>
        <v/>
      </c>
      <c r="C32" t="s">
        <v>10</v>
      </c>
      <c r="D32" s="2">
        <v>374.64124962242033</v>
      </c>
      <c r="E32" s="2">
        <v>524.52543481990301</v>
      </c>
      <c r="F32" s="6">
        <f>AVERAGEIFS(Data!K$2:K$811,Data!$C$2:$C$811,$A32,Data!$D$2:$D$811,$C32)</f>
        <v>0.18075715961614031</v>
      </c>
      <c r="G32" s="6">
        <f>F32</f>
        <v>0.18075715961614031</v>
      </c>
      <c r="H32" s="2">
        <f>(G32*D32)/E32</f>
        <v>0.12910544210318722</v>
      </c>
      <c r="I32" s="6">
        <f>F32*SQRT(1-$J$1)</f>
        <v>0.15654029214349613</v>
      </c>
      <c r="J32" s="6">
        <f t="shared" si="4"/>
        <v>0.15654029214349613</v>
      </c>
      <c r="K32" s="2">
        <f t="shared" si="2"/>
        <v>0.11180859262818119</v>
      </c>
      <c r="O32" s="2">
        <f>AVERAGEIFS(Data!H$2:H$811,Data!$C$2:$C$811,$A32,Data!$D$2:$D$811,$C32)</f>
        <v>6.4519605728949964E-2</v>
      </c>
      <c r="P32" t="str">
        <f t="shared" si="3"/>
        <v/>
      </c>
      <c r="Q32" s="13"/>
    </row>
    <row r="33" spans="1:17" x14ac:dyDescent="0.35">
      <c r="A33" s="3">
        <v>2500</v>
      </c>
      <c r="B33" s="3" t="str">
        <f t="shared" si="0"/>
        <v/>
      </c>
      <c r="C33" t="s">
        <v>10</v>
      </c>
      <c r="D33" s="2">
        <v>372.90861411560752</v>
      </c>
      <c r="E33" s="2">
        <v>514.06641516219747</v>
      </c>
      <c r="F33" s="6">
        <f>AVERAGEIFS(Data!K$2:K$811,Data!$C$2:$C$811,$A33,Data!$D$2:$D$811,$C33)</f>
        <v>0.16223433197828835</v>
      </c>
      <c r="G33" s="6">
        <f>F33</f>
        <v>0.16223433197828835</v>
      </c>
      <c r="H33" s="2">
        <f>(G33*D33)/E33</f>
        <v>0.11768631078711196</v>
      </c>
      <c r="I33" s="6">
        <f>F33*SQRT(1-$J$1)</f>
        <v>0.14049905285919584</v>
      </c>
      <c r="J33" s="6">
        <f t="shared" si="4"/>
        <v>0.14049905285919584</v>
      </c>
      <c r="K33" s="2">
        <f t="shared" si="2"/>
        <v>0.10191933481930958</v>
      </c>
      <c r="O33" s="2">
        <f>AVERAGEIFS(Data!H$2:H$811,Data!$C$2:$C$811,$A33,Data!$D$2:$D$811,$C33)</f>
        <v>5.7908052755239761E-2</v>
      </c>
      <c r="P33" t="str">
        <f t="shared" si="3"/>
        <v/>
      </c>
      <c r="Q33" s="13"/>
    </row>
    <row r="34" spans="1:17" x14ac:dyDescent="0.35">
      <c r="A34" s="3">
        <v>3000</v>
      </c>
      <c r="B34" s="3" t="str">
        <f t="shared" si="0"/>
        <v/>
      </c>
      <c r="C34" t="s">
        <v>10</v>
      </c>
      <c r="D34" s="2">
        <v>367.20965645988377</v>
      </c>
      <c r="E34" s="2">
        <v>485.21683077310053</v>
      </c>
      <c r="F34" s="6">
        <f>AVERAGEIFS(Data!K$2:K$811,Data!$C$2:$C$811,$A34,Data!$D$2:$D$811,$C34)</f>
        <v>0.14668838857776517</v>
      </c>
      <c r="G34" s="6">
        <f>F34</f>
        <v>0.14668838857776517</v>
      </c>
      <c r="H34" s="2">
        <f>(G34*D34)/E34</f>
        <v>0.11101303450350404</v>
      </c>
      <c r="I34" s="6">
        <f>F34*SQRT(1-$J$1)</f>
        <v>0.12703587094854771</v>
      </c>
      <c r="J34" s="6">
        <f t="shared" si="4"/>
        <v>0.12703587094854771</v>
      </c>
      <c r="K34" s="2">
        <f t="shared" si="2"/>
        <v>9.6140108031232893E-2</v>
      </c>
      <c r="O34" s="2">
        <f>AVERAGEIFS(Data!H$2:H$811,Data!$C$2:$C$811,$A34,Data!$D$2:$D$811,$C34)</f>
        <v>5.2359071232093657E-2</v>
      </c>
      <c r="P34" t="str">
        <f t="shared" si="3"/>
        <v/>
      </c>
      <c r="Q34" s="13"/>
    </row>
    <row r="35" spans="1:17" x14ac:dyDescent="0.35">
      <c r="A35" s="3">
        <v>3500</v>
      </c>
      <c r="B35" s="3" t="str">
        <f t="shared" si="0"/>
        <v/>
      </c>
      <c r="C35" t="s">
        <v>10</v>
      </c>
      <c r="D35" s="2">
        <v>369.24659744006436</v>
      </c>
      <c r="E35" s="2">
        <v>515.85342844666093</v>
      </c>
      <c r="F35" s="6">
        <f>AVERAGEIFS(Data!K$2:K$811,Data!$C$2:$C$811,$A35,Data!$D$2:$D$811,$C35)</f>
        <v>0.13708851098877967</v>
      </c>
      <c r="G35" s="6">
        <f>F35</f>
        <v>0.13708851098877967</v>
      </c>
      <c r="H35" s="2">
        <f>(G35*D35)/E35</f>
        <v>9.8127614239488972E-2</v>
      </c>
      <c r="I35" s="6">
        <f>F35*SQRT(1-$J$1)</f>
        <v>0.11872213308326536</v>
      </c>
      <c r="J35" s="6">
        <f t="shared" si="4"/>
        <v>0.11872213308326536</v>
      </c>
      <c r="K35" s="2">
        <f t="shared" si="2"/>
        <v>8.4981006744157053E-2</v>
      </c>
      <c r="O35" s="2">
        <f>AVERAGEIFS(Data!H$2:H$811,Data!$C$2:$C$811,$A35,Data!$D$2:$D$811,$C35)</f>
        <v>4.89324832153155E-2</v>
      </c>
      <c r="P35" t="str">
        <f t="shared" si="3"/>
        <v/>
      </c>
      <c r="Q35" s="13"/>
    </row>
    <row r="36" spans="1:17" x14ac:dyDescent="0.35">
      <c r="A36" s="3">
        <v>4000</v>
      </c>
      <c r="B36" s="3" t="str">
        <f t="shared" si="0"/>
        <v/>
      </c>
      <c r="C36" t="s">
        <v>10</v>
      </c>
      <c r="D36" s="2">
        <v>368.67233868551403</v>
      </c>
      <c r="E36" s="2">
        <v>485.90238366288787</v>
      </c>
      <c r="F36" s="6">
        <f>AVERAGEIFS(Data!K$2:K$811,Data!$C$2:$C$811,$A36,Data!$D$2:$D$811,$C36)</f>
        <v>0.12814083301021401</v>
      </c>
      <c r="G36" s="6">
        <f>F36</f>
        <v>0.12814083301021401</v>
      </c>
      <c r="H36" s="2">
        <f>(G36*D36)/E36</f>
        <v>9.7225249711393319E-2</v>
      </c>
      <c r="I36" s="6">
        <f>F36*SQRT(1-$J$1)</f>
        <v>0.1109732166489449</v>
      </c>
      <c r="J36" s="6">
        <f t="shared" si="4"/>
        <v>0.1109732166489449</v>
      </c>
      <c r="K36" s="2">
        <f t="shared" si="2"/>
        <v>8.4199536139352271E-2</v>
      </c>
      <c r="O36" s="2">
        <f>AVERAGEIFS(Data!H$2:H$811,Data!$C$2:$C$811,$A36,Data!$D$2:$D$811,$C36)</f>
        <v>4.5738691851296323E-2</v>
      </c>
      <c r="P36" t="str">
        <f t="shared" si="3"/>
        <v/>
      </c>
      <c r="Q36" s="13"/>
    </row>
    <row r="37" spans="1:17" x14ac:dyDescent="0.35">
      <c r="A37" s="3">
        <v>4500</v>
      </c>
      <c r="B37" s="3" t="str">
        <f t="shared" si="0"/>
        <v/>
      </c>
      <c r="C37" t="s">
        <v>10</v>
      </c>
      <c r="D37" s="2">
        <v>364.21356649884109</v>
      </c>
      <c r="E37" s="2">
        <v>474.70417075246752</v>
      </c>
      <c r="F37" s="6">
        <f>AVERAGEIFS(Data!K$2:K$811,Data!$C$2:$C$811,$A37,Data!$D$2:$D$811,$C37)</f>
        <v>0.12030598174284401</v>
      </c>
      <c r="G37" s="6">
        <f>F37</f>
        <v>0.12030598174284401</v>
      </c>
      <c r="H37" s="2">
        <f>(G37*D37)/E37</f>
        <v>9.2303951347741386E-2</v>
      </c>
      <c r="I37" s="6">
        <f>F37*SQRT(1-$J$1)</f>
        <v>0.10418803641652978</v>
      </c>
      <c r="J37" s="6">
        <f t="shared" si="4"/>
        <v>0.10418803641652978</v>
      </c>
      <c r="K37" s="2">
        <f t="shared" si="2"/>
        <v>7.9937566736826907E-2</v>
      </c>
      <c r="O37" s="2">
        <f>AVERAGEIFS(Data!H$2:H$811,Data!$C$2:$C$811,$A37,Data!$D$2:$D$811,$C37)</f>
        <v>4.2942113747340874E-2</v>
      </c>
      <c r="P37" t="str">
        <f t="shared" si="3"/>
        <v/>
      </c>
      <c r="Q37" s="13"/>
    </row>
    <row r="38" spans="1:17" x14ac:dyDescent="0.35">
      <c r="A38" s="3">
        <v>5000</v>
      </c>
      <c r="B38" s="3" t="str">
        <f t="shared" si="0"/>
        <v/>
      </c>
      <c r="C38" t="s">
        <v>10</v>
      </c>
      <c r="D38" s="2">
        <v>363.74410955056373</v>
      </c>
      <c r="E38" s="2">
        <v>482.40513939095189</v>
      </c>
      <c r="F38" s="6">
        <f>AVERAGEIFS(Data!K$2:K$811,Data!$C$2:$C$811,$A38,Data!$D$2:$D$811,$C38)</f>
        <v>0.11347536308043431</v>
      </c>
      <c r="G38" s="6">
        <f>F38</f>
        <v>0.11347536308043431</v>
      </c>
      <c r="H38" s="2">
        <f>(G38*D38)/E38</f>
        <v>8.556292528668212E-2</v>
      </c>
      <c r="I38" s="6">
        <f>F38*SQRT(1-$J$1)</f>
        <v>9.8272547131318902E-2</v>
      </c>
      <c r="J38" s="6">
        <f t="shared" si="4"/>
        <v>9.8272547131318902E-2</v>
      </c>
      <c r="K38" s="2">
        <f t="shared" si="2"/>
        <v>7.4099666920376644E-2</v>
      </c>
      <c r="O38" s="2">
        <f>AVERAGEIFS(Data!H$2:H$811,Data!$C$2:$C$811,$A38,Data!$D$2:$D$811,$C38)</f>
        <v>4.0503987235951902E-2</v>
      </c>
      <c r="P38" t="str">
        <f t="shared" si="3"/>
        <v/>
      </c>
      <c r="Q38" s="13"/>
    </row>
    <row r="39" spans="1:17" x14ac:dyDescent="0.35">
      <c r="A39" s="3">
        <v>5500</v>
      </c>
      <c r="B39" s="3" t="str">
        <f t="shared" si="0"/>
        <v>Logged5</v>
      </c>
      <c r="C39" t="s">
        <v>10</v>
      </c>
      <c r="D39" s="2">
        <v>369.63596382963578</v>
      </c>
      <c r="E39" s="2">
        <v>495.1064030702745</v>
      </c>
      <c r="F39" s="6">
        <f>AVERAGEIFS(Data!K$2:K$811,Data!$C$2:$C$811,$A39,Data!$D$2:$D$811,$C39)</f>
        <v>0.10812725929691627</v>
      </c>
      <c r="G39" s="6">
        <f>F39</f>
        <v>0.10812725929691627</v>
      </c>
      <c r="H39" s="2">
        <f>(G39*D39)/E39</f>
        <v>8.0725523763423526E-2</v>
      </c>
      <c r="I39" s="6">
        <f>F39*SQRT(1-$J$1)</f>
        <v>9.3640953392716608E-2</v>
      </c>
      <c r="J39" s="6">
        <f t="shared" si="4"/>
        <v>9.3640953392716608E-2</v>
      </c>
      <c r="K39" s="2">
        <f t="shared" si="2"/>
        <v>6.9910354312929163E-2</v>
      </c>
      <c r="L39">
        <v>5</v>
      </c>
      <c r="M39" s="3">
        <f>A39/2*L39</f>
        <v>13750</v>
      </c>
      <c r="N39">
        <v>3.3393269999999999</v>
      </c>
      <c r="O39" s="2">
        <f>AVERAGEIFS(Data!H$2:H$811,Data!$C$2:$C$811,$A39,Data!$D$2:$D$811,$C39)</f>
        <v>3.8595030776120039E-2</v>
      </c>
      <c r="P39">
        <f t="shared" si="3"/>
        <v>0.1288814283365286</v>
      </c>
      <c r="Q39" s="13">
        <f>P39</f>
        <v>0.1288814283365286</v>
      </c>
    </row>
    <row r="40" spans="1:17" x14ac:dyDescent="0.35">
      <c r="A40" s="3">
        <v>6000</v>
      </c>
      <c r="B40" s="3" t="str">
        <f t="shared" si="0"/>
        <v/>
      </c>
      <c r="C40" t="s">
        <v>10</v>
      </c>
      <c r="D40" s="2">
        <v>374.82024884121557</v>
      </c>
      <c r="E40" s="2">
        <v>508.59595201456443</v>
      </c>
      <c r="F40" s="6">
        <f>AVERAGEIFS(Data!K$2:K$811,Data!$C$2:$C$811,$A40,Data!$D$2:$D$811,$C40)</f>
        <v>0.10365816755595252</v>
      </c>
      <c r="G40" s="6">
        <f>F40</f>
        <v>0.10365816755595252</v>
      </c>
      <c r="H40" s="2">
        <f>(G40*D40)/E40</f>
        <v>7.6393018866642334E-2</v>
      </c>
      <c r="I40" s="6">
        <f>F40*SQRT(1-$J$1)</f>
        <v>8.977060641319877E-2</v>
      </c>
      <c r="J40" s="6">
        <f t="shared" si="4"/>
        <v>8.977060641319877E-2</v>
      </c>
      <c r="K40" s="2">
        <f t="shared" si="2"/>
        <v>6.6158295010296173E-2</v>
      </c>
      <c r="O40" s="2">
        <f>AVERAGEIFS(Data!H$2:H$811,Data!$C$2:$C$811,$A40,Data!$D$2:$D$811,$C40)</f>
        <v>3.6999829580738233E-2</v>
      </c>
      <c r="P40" t="str">
        <f t="shared" si="3"/>
        <v/>
      </c>
      <c r="Q40" s="13"/>
    </row>
    <row r="41" spans="1:17" x14ac:dyDescent="0.35">
      <c r="A41" s="3">
        <v>6500</v>
      </c>
      <c r="B41" s="3" t="str">
        <f t="shared" si="0"/>
        <v/>
      </c>
      <c r="C41" t="s">
        <v>10</v>
      </c>
      <c r="D41" s="2">
        <v>373.03972783413599</v>
      </c>
      <c r="E41" s="2">
        <v>500.40382357944935</v>
      </c>
      <c r="F41" s="6">
        <f>AVERAGEIFS(Data!K$2:K$811,Data!$C$2:$C$811,$A41,Data!$D$2:$D$811,$C41)</f>
        <v>9.9612040084123846E-2</v>
      </c>
      <c r="G41" s="6">
        <f>F41</f>
        <v>9.9612040084123846E-2</v>
      </c>
      <c r="H41" s="2">
        <f>(G41*D41)/E41</f>
        <v>7.4258521959684451E-2</v>
      </c>
      <c r="I41" s="6">
        <f>F41*SQRT(1-$J$1)</f>
        <v>8.6266557235645039E-2</v>
      </c>
      <c r="J41" s="6">
        <f t="shared" si="4"/>
        <v>8.6266557235645039E-2</v>
      </c>
      <c r="K41" s="2">
        <f t="shared" si="2"/>
        <v>6.430976646457133E-2</v>
      </c>
      <c r="O41" s="2">
        <f>AVERAGEIFS(Data!H$2:H$811,Data!$C$2:$C$811,$A41,Data!$D$2:$D$811,$C41)</f>
        <v>3.5555601591286304E-2</v>
      </c>
      <c r="P41" t="str">
        <f t="shared" si="3"/>
        <v/>
      </c>
      <c r="Q41" s="13"/>
    </row>
    <row r="42" spans="1:17" x14ac:dyDescent="0.35">
      <c r="A42" s="3">
        <v>7000</v>
      </c>
      <c r="B42" s="3" t="str">
        <f t="shared" si="0"/>
        <v>Logged4</v>
      </c>
      <c r="C42" t="s">
        <v>10</v>
      </c>
      <c r="D42" s="2">
        <v>370.3618083996995</v>
      </c>
      <c r="E42" s="2">
        <v>487.55659091417812</v>
      </c>
      <c r="F42" s="6">
        <f>AVERAGEIFS(Data!K$2:K$811,Data!$C$2:$C$811,$A42,Data!$D$2:$D$811,$C42)</f>
        <v>9.5978595785276455E-2</v>
      </c>
      <c r="G42" s="6">
        <f>F42</f>
        <v>9.5978595785276455E-2</v>
      </c>
      <c r="H42" s="2">
        <f>(G42*D42)/E42</f>
        <v>7.2908062294979564E-2</v>
      </c>
      <c r="I42" s="6">
        <f>F42*SQRT(1-$J$1)</f>
        <v>8.3119902169607462E-2</v>
      </c>
      <c r="J42" s="6">
        <f t="shared" si="4"/>
        <v>8.3119902169607462E-2</v>
      </c>
      <c r="K42" s="2">
        <f t="shared" si="2"/>
        <v>6.3140234088150685E-2</v>
      </c>
      <c r="L42">
        <v>4</v>
      </c>
      <c r="M42" s="3">
        <f>A42/2*L42</f>
        <v>14000</v>
      </c>
      <c r="N42">
        <v>3.2356009999999999</v>
      </c>
      <c r="O42" s="2">
        <f>AVERAGEIFS(Data!H$2:H$811,Data!$C$2:$C$811,$A42,Data!$D$2:$D$811,$C42)</f>
        <v>3.4258677065045845E-2</v>
      </c>
      <c r="P42">
        <f t="shared" si="3"/>
        <v>0.1108474097703394</v>
      </c>
      <c r="Q42" s="13">
        <f>P42</f>
        <v>0.1108474097703394</v>
      </c>
    </row>
    <row r="43" spans="1:17" x14ac:dyDescent="0.35">
      <c r="A43" s="3">
        <v>7500</v>
      </c>
      <c r="B43" s="3" t="str">
        <f t="shared" si="0"/>
        <v/>
      </c>
      <c r="C43" t="s">
        <v>10</v>
      </c>
      <c r="D43" s="2">
        <v>366.4991341562669</v>
      </c>
      <c r="E43" s="2">
        <v>487.94351754547978</v>
      </c>
      <c r="F43" s="6">
        <f>AVERAGEIFS(Data!K$2:K$811,Data!$C$2:$C$811,$A43,Data!$D$2:$D$811,$C43)</f>
        <v>9.2394755277788218E-2</v>
      </c>
      <c r="G43" s="6">
        <f>F43</f>
        <v>9.2394755277788218E-2</v>
      </c>
      <c r="H43" s="2">
        <f>(G43*D43)/E43</f>
        <v>6.9398601666499901E-2</v>
      </c>
      <c r="I43" s="6">
        <f>F43*SQRT(1-$J$1)</f>
        <v>8.0016205247010933E-2</v>
      </c>
      <c r="J43" s="6">
        <f t="shared" si="4"/>
        <v>8.0016205247010933E-2</v>
      </c>
      <c r="K43" s="2">
        <f t="shared" si="2"/>
        <v>6.0100952030305986E-2</v>
      </c>
      <c r="O43" s="2">
        <f>AVERAGEIFS(Data!H$2:H$811,Data!$C$2:$C$811,$A43,Data!$D$2:$D$811,$C43)</f>
        <v>3.297945815593252E-2</v>
      </c>
      <c r="P43" t="str">
        <f t="shared" si="3"/>
        <v/>
      </c>
      <c r="Q43" s="13"/>
    </row>
    <row r="44" spans="1:17" x14ac:dyDescent="0.35">
      <c r="A44" s="3">
        <v>8000</v>
      </c>
      <c r="B44" s="3" t="str">
        <f t="shared" si="0"/>
        <v/>
      </c>
      <c r="C44" t="s">
        <v>10</v>
      </c>
      <c r="D44" s="2">
        <v>372.56038491284596</v>
      </c>
      <c r="E44" s="2">
        <v>504.52570115759306</v>
      </c>
      <c r="F44" s="6">
        <f>AVERAGEIFS(Data!K$2:K$811,Data!$C$2:$C$811,$A44,Data!$D$2:$D$811,$C44)</f>
        <v>8.9268951867689822E-2</v>
      </c>
      <c r="G44" s="6">
        <f>F44</f>
        <v>8.9268951867689822E-2</v>
      </c>
      <c r="H44" s="2">
        <f>(G44*D44)/E44</f>
        <v>6.5919486345858883E-2</v>
      </c>
      <c r="I44" s="6">
        <f>F44*SQRT(1-$J$1)</f>
        <v>7.7309180086629695E-2</v>
      </c>
      <c r="J44" s="6">
        <f t="shared" si="4"/>
        <v>7.7309180086629695E-2</v>
      </c>
      <c r="K44" s="2">
        <f t="shared" si="2"/>
        <v>5.7087949779935233E-2</v>
      </c>
      <c r="O44" s="2">
        <f>AVERAGEIFS(Data!H$2:H$811,Data!$C$2:$C$811,$A44,Data!$D$2:$D$811,$C44)</f>
        <v>3.1863731376235167E-2</v>
      </c>
      <c r="P44" t="str">
        <f t="shared" si="3"/>
        <v/>
      </c>
      <c r="Q44" s="13"/>
    </row>
    <row r="45" spans="1:17" x14ac:dyDescent="0.35">
      <c r="A45" s="3">
        <v>8500</v>
      </c>
      <c r="B45" s="3" t="str">
        <f t="shared" si="0"/>
        <v/>
      </c>
      <c r="C45" t="s">
        <v>10</v>
      </c>
      <c r="D45" s="2">
        <v>372.00888211229426</v>
      </c>
      <c r="E45" s="2">
        <v>498.20490338263397</v>
      </c>
      <c r="F45" s="6">
        <f>AVERAGEIFS(Data!K$2:K$811,Data!$C$2:$C$811,$A45,Data!$D$2:$D$811,$C45)</f>
        <v>8.6725630088728023E-2</v>
      </c>
      <c r="G45" s="6">
        <f>F45</f>
        <v>8.6725630088728023E-2</v>
      </c>
      <c r="H45" s="2">
        <f>(G45*D45)/E45</f>
        <v>6.4757902784054869E-2</v>
      </c>
      <c r="I45" s="6">
        <f>F45*SQRT(1-$J$1)</f>
        <v>7.5106598816050543E-2</v>
      </c>
      <c r="J45" s="6">
        <f t="shared" si="4"/>
        <v>7.5106598816050543E-2</v>
      </c>
      <c r="K45" s="2">
        <f t="shared" si="2"/>
        <v>5.6081988906794548E-2</v>
      </c>
      <c r="O45" s="2">
        <f>AVERAGEIFS(Data!H$2:H$811,Data!$C$2:$C$811,$A45,Data!$D$2:$D$811,$C45)</f>
        <v>3.09559160577773E-2</v>
      </c>
      <c r="P45" t="str">
        <f t="shared" si="3"/>
        <v/>
      </c>
      <c r="Q45" s="13"/>
    </row>
    <row r="46" spans="1:17" x14ac:dyDescent="0.35">
      <c r="A46" s="3">
        <v>9000</v>
      </c>
      <c r="B46" s="3" t="str">
        <f t="shared" si="0"/>
        <v/>
      </c>
      <c r="C46" t="s">
        <v>10</v>
      </c>
      <c r="D46" s="2">
        <v>371.81327181450285</v>
      </c>
      <c r="E46" s="2">
        <v>496.50735813442668</v>
      </c>
      <c r="F46" s="6">
        <f>AVERAGEIFS(Data!K$2:K$811,Data!$C$2:$C$811,$A46,Data!$D$2:$D$811,$C46)</f>
        <v>8.4324797169081547E-2</v>
      </c>
      <c r="G46" s="6">
        <f>F46</f>
        <v>8.4324797169081547E-2</v>
      </c>
      <c r="H46" s="2">
        <f>(G46*D46)/E46</f>
        <v>6.31472589818938E-2</v>
      </c>
      <c r="I46" s="6">
        <f>F46*SQRT(1-$J$1)</f>
        <v>7.3027416517394736E-2</v>
      </c>
      <c r="J46" s="6">
        <f t="shared" si="4"/>
        <v>7.3027416517394736E-2</v>
      </c>
      <c r="K46" s="2">
        <f t="shared" si="2"/>
        <v>5.46871304576751E-2</v>
      </c>
      <c r="O46" s="2">
        <f>AVERAGEIFS(Data!H$2:H$811,Data!$C$2:$C$811,$A46,Data!$D$2:$D$811,$C46)</f>
        <v>3.009896082720372E-2</v>
      </c>
      <c r="P46" t="str">
        <f t="shared" si="3"/>
        <v/>
      </c>
      <c r="Q46" s="13"/>
    </row>
    <row r="47" spans="1:17" x14ac:dyDescent="0.35">
      <c r="A47" s="3">
        <v>9500</v>
      </c>
      <c r="B47" s="3" t="str">
        <f t="shared" si="0"/>
        <v>Logged3</v>
      </c>
      <c r="C47" t="s">
        <v>10</v>
      </c>
      <c r="D47" s="2">
        <v>366.81752117056004</v>
      </c>
      <c r="E47" s="2">
        <v>490.18685875069241</v>
      </c>
      <c r="F47" s="6">
        <f>AVERAGEIFS(Data!K$2:K$811,Data!$C$2:$C$811,$A47,Data!$D$2:$D$811,$C47)</f>
        <v>8.1996862672706103E-2</v>
      </c>
      <c r="G47" s="6">
        <f>F47</f>
        <v>8.1996862672706103E-2</v>
      </c>
      <c r="H47" s="2">
        <f>(G47*D47)/E47</f>
        <v>6.13600413238789E-2</v>
      </c>
      <c r="I47" s="6">
        <f>F47*SQRT(1-$J$1)</f>
        <v>7.1011366105187462E-2</v>
      </c>
      <c r="J47" s="6">
        <f t="shared" si="4"/>
        <v>7.1011366105187462E-2</v>
      </c>
      <c r="K47" s="2">
        <f t="shared" si="2"/>
        <v>5.313935456374206E-2</v>
      </c>
      <c r="L47">
        <v>3</v>
      </c>
      <c r="M47" s="3">
        <f>A47/2*L47</f>
        <v>14250</v>
      </c>
      <c r="N47">
        <v>3.083024</v>
      </c>
      <c r="O47" s="2">
        <f>AVERAGEIFS(Data!H$2:H$811,Data!$C$2:$C$811,$A47,Data!$D$2:$D$811,$C47)</f>
        <v>2.926802601838106E-2</v>
      </c>
      <c r="P47">
        <f t="shared" si="3"/>
        <v>9.0234026647293242E-2</v>
      </c>
      <c r="Q47" s="13">
        <f>P47</f>
        <v>9.0234026647293242E-2</v>
      </c>
    </row>
    <row r="48" spans="1:17" x14ac:dyDescent="0.35">
      <c r="A48" s="3">
        <v>10000</v>
      </c>
      <c r="B48" s="3" t="str">
        <f t="shared" si="0"/>
        <v/>
      </c>
      <c r="C48" t="s">
        <v>10</v>
      </c>
      <c r="D48" s="2">
        <v>363.01858572239877</v>
      </c>
      <c r="E48" s="2">
        <v>482.63082252909152</v>
      </c>
      <c r="F48" s="6">
        <f>AVERAGEIFS(Data!K$2:K$811,Data!$C$2:$C$811,$A48,Data!$D$2:$D$811,$C48)</f>
        <v>7.9895718973643517E-2</v>
      </c>
      <c r="G48" s="6">
        <f>F48</f>
        <v>7.9895718973643517E-2</v>
      </c>
      <c r="H48" s="2">
        <f>(G48*D48)/E48</f>
        <v>6.0094858333126951E-2</v>
      </c>
      <c r="I48" s="6">
        <f>F48*SQRT(1-$J$1)</f>
        <v>6.9191722284797655E-2</v>
      </c>
      <c r="J48" s="6">
        <f t="shared" si="4"/>
        <v>6.9191722284797655E-2</v>
      </c>
      <c r="K48" s="2">
        <f t="shared" si="2"/>
        <v>5.2043673953314905E-2</v>
      </c>
      <c r="O48" s="2">
        <f>AVERAGEIFS(Data!H$2:H$811,Data!$C$2:$C$811,$A48,Data!$D$2:$D$811,$C48)</f>
        <v>2.8518042098898844E-2</v>
      </c>
      <c r="P48" t="str">
        <f t="shared" si="3"/>
        <v/>
      </c>
      <c r="Q48" s="13"/>
    </row>
    <row r="49" spans="1:17" x14ac:dyDescent="0.35">
      <c r="A49" s="3">
        <v>10500</v>
      </c>
      <c r="B49" s="3" t="str">
        <f t="shared" si="0"/>
        <v/>
      </c>
      <c r="C49" t="s">
        <v>10</v>
      </c>
      <c r="D49" s="2">
        <v>367.00261209903817</v>
      </c>
      <c r="E49" s="2">
        <v>490.63257028419912</v>
      </c>
      <c r="F49" s="6">
        <f>AVERAGEIFS(Data!K$2:K$811,Data!$C$2:$C$811,$A49,Data!$D$2:$D$811,$C49)</f>
        <v>7.7699777604110204E-2</v>
      </c>
      <c r="G49" s="6">
        <f>F49</f>
        <v>7.7699777604110204E-2</v>
      </c>
      <c r="H49" s="2">
        <f>(G49*D49)/E49</f>
        <v>5.8120930136588519E-2</v>
      </c>
      <c r="I49" s="6">
        <f>F49*SQRT(1-$J$1)</f>
        <v>6.7289981273560617E-2</v>
      </c>
      <c r="J49" s="6">
        <f t="shared" si="4"/>
        <v>6.7289981273560617E-2</v>
      </c>
      <c r="K49" s="2">
        <f t="shared" si="2"/>
        <v>5.0334201989866219E-2</v>
      </c>
      <c r="O49" s="2">
        <f>AVERAGEIFS(Data!H$2:H$811,Data!$C$2:$C$811,$A49,Data!$D$2:$D$811,$C49)</f>
        <v>2.7734221022781818E-2</v>
      </c>
      <c r="P49" t="str">
        <f t="shared" si="3"/>
        <v/>
      </c>
      <c r="Q49" s="13"/>
    </row>
    <row r="50" spans="1:17" x14ac:dyDescent="0.35">
      <c r="A50" s="3">
        <v>11000</v>
      </c>
      <c r="B50" s="3" t="str">
        <f t="shared" si="0"/>
        <v/>
      </c>
      <c r="C50" t="s">
        <v>10</v>
      </c>
      <c r="D50" s="2">
        <v>365.37411281853372</v>
      </c>
      <c r="E50" s="2">
        <v>480.01567226212393</v>
      </c>
      <c r="F50" s="6">
        <f>AVERAGEIFS(Data!K$2:K$811,Data!$C$2:$C$811,$A50,Data!$D$2:$D$811,$C50)</f>
        <v>7.5841417644630829E-2</v>
      </c>
      <c r="G50" s="6">
        <f>F50</f>
        <v>7.5841417644630829E-2</v>
      </c>
      <c r="H50" s="2">
        <f>(G50*D50)/E50</f>
        <v>5.772830407019483E-2</v>
      </c>
      <c r="I50" s="6">
        <f>F50*SQRT(1-$J$1)</f>
        <v>6.5680594339275658E-2</v>
      </c>
      <c r="J50" s="6">
        <f t="shared" si="4"/>
        <v>6.5680594339275658E-2</v>
      </c>
      <c r="K50" s="2">
        <f t="shared" si="2"/>
        <v>4.9994177842181332E-2</v>
      </c>
      <c r="O50" s="2">
        <f>AVERAGEIFS(Data!H$2:H$811,Data!$C$2:$C$811,$A50,Data!$D$2:$D$811,$C50)</f>
        <v>2.70708965262988E-2</v>
      </c>
      <c r="P50" t="str">
        <f t="shared" si="3"/>
        <v/>
      </c>
      <c r="Q50" s="13"/>
    </row>
    <row r="51" spans="1:17" x14ac:dyDescent="0.35">
      <c r="A51" s="3">
        <v>11500</v>
      </c>
      <c r="B51" s="3" t="str">
        <f t="shared" si="0"/>
        <v/>
      </c>
      <c r="C51" t="s">
        <v>10</v>
      </c>
      <c r="D51" s="2">
        <v>363.50026129812966</v>
      </c>
      <c r="E51" s="2">
        <v>473.63935514661307</v>
      </c>
      <c r="F51" s="6">
        <f>AVERAGEIFS(Data!K$2:K$811,Data!$C$2:$C$811,$A51,Data!$D$2:$D$811,$C51)</f>
        <v>7.4090138217307783E-2</v>
      </c>
      <c r="G51" s="6">
        <f>F51</f>
        <v>7.4090138217307783E-2</v>
      </c>
      <c r="H51" s="2">
        <f>(G51*D51)/E51</f>
        <v>5.6861374184730286E-2</v>
      </c>
      <c r="I51" s="6">
        <f>F51*SQRT(1-$J$1)</f>
        <v>6.4163941866088842E-2</v>
      </c>
      <c r="J51" s="6">
        <f t="shared" si="4"/>
        <v>6.4163941866088842E-2</v>
      </c>
      <c r="K51" s="2">
        <f t="shared" si="2"/>
        <v>4.9243394538069092E-2</v>
      </c>
      <c r="O51" s="2">
        <f>AVERAGEIFS(Data!H$2:H$811,Data!$C$2:$C$811,$A51,Data!$D$2:$D$811,$C51)</f>
        <v>2.6445793440965665E-2</v>
      </c>
      <c r="P51" t="str">
        <f t="shared" si="3"/>
        <v/>
      </c>
      <c r="Q51" s="13"/>
    </row>
    <row r="52" spans="1:17" x14ac:dyDescent="0.35">
      <c r="A52" s="3">
        <v>12000</v>
      </c>
      <c r="B52" s="3" t="str">
        <f t="shared" si="0"/>
        <v/>
      </c>
      <c r="C52" t="s">
        <v>10</v>
      </c>
      <c r="D52" s="2">
        <v>370.28728873917896</v>
      </c>
      <c r="E52" s="2">
        <v>490.52498152681011</v>
      </c>
      <c r="F52" s="6">
        <f>AVERAGEIFS(Data!K$2:K$811,Data!$C$2:$C$811,$A52,Data!$D$2:$D$811,$C52)</f>
        <v>7.2447977206393316E-2</v>
      </c>
      <c r="G52" s="6">
        <f>F52</f>
        <v>7.2447977206393316E-2</v>
      </c>
      <c r="H52" s="2">
        <f>(G52*D52)/E52</f>
        <v>5.4689498118715055E-2</v>
      </c>
      <c r="I52" s="6">
        <f>F52*SQRT(1-$J$1)</f>
        <v>6.2741788713532573E-2</v>
      </c>
      <c r="J52" s="6">
        <f t="shared" si="4"/>
        <v>6.2741788713532573E-2</v>
      </c>
      <c r="K52" s="2">
        <f t="shared" si="2"/>
        <v>4.7362494691028496E-2</v>
      </c>
      <c r="O52" s="2">
        <f>AVERAGEIFS(Data!H$2:H$811,Data!$C$2:$C$811,$A52,Data!$D$2:$D$811,$C52)</f>
        <v>2.5859639170824129E-2</v>
      </c>
      <c r="P52" t="str">
        <f t="shared" si="3"/>
        <v/>
      </c>
      <c r="Q52" s="13"/>
    </row>
    <row r="53" spans="1:17" x14ac:dyDescent="0.35">
      <c r="A53" s="3">
        <v>12500</v>
      </c>
      <c r="B53" s="3" t="str">
        <f t="shared" si="0"/>
        <v/>
      </c>
      <c r="C53" t="s">
        <v>10</v>
      </c>
      <c r="D53" s="2">
        <v>366.66109849394911</v>
      </c>
      <c r="E53" s="2">
        <v>494.25866390938262</v>
      </c>
      <c r="F53" s="6">
        <f>AVERAGEIFS(Data!K$2:K$811,Data!$C$2:$C$811,$A53,Data!$D$2:$D$811,$C53)</f>
        <v>7.0984915875888205E-2</v>
      </c>
      <c r="G53" s="6">
        <f>F53</f>
        <v>7.0984915875888205E-2</v>
      </c>
      <c r="H53" s="2">
        <f>(G53*D53)/E53</f>
        <v>5.2659486078984755E-2</v>
      </c>
      <c r="I53" s="6">
        <f>F53*SQRT(1-$J$1)</f>
        <v>6.1474740434020486E-2</v>
      </c>
      <c r="J53" s="6">
        <f t="shared" si="4"/>
        <v>6.1474740434020486E-2</v>
      </c>
      <c r="K53" s="2">
        <f t="shared" si="2"/>
        <v>4.5604452694633792E-2</v>
      </c>
      <c r="O53" s="2">
        <f>AVERAGEIFS(Data!H$2:H$811,Data!$C$2:$C$811,$A53,Data!$D$2:$D$811,$C53)</f>
        <v>2.5337412884452265E-2</v>
      </c>
      <c r="P53" t="str">
        <f t="shared" si="3"/>
        <v/>
      </c>
      <c r="Q53" s="13"/>
    </row>
    <row r="54" spans="1:17" x14ac:dyDescent="0.35">
      <c r="A54" s="3">
        <v>13000</v>
      </c>
      <c r="B54" s="3" t="str">
        <f t="shared" si="0"/>
        <v/>
      </c>
      <c r="C54" t="s">
        <v>10</v>
      </c>
      <c r="D54" s="2">
        <v>370.54841474819739</v>
      </c>
      <c r="E54" s="2">
        <v>496.0674512116683</v>
      </c>
      <c r="F54" s="6">
        <f>AVERAGEIFS(Data!K$2:K$811,Data!$C$2:$C$811,$A54,Data!$D$2:$D$811,$C54)</f>
        <v>6.9512877589342367E-2</v>
      </c>
      <c r="G54" s="6">
        <f>F54</f>
        <v>6.9512877589342367E-2</v>
      </c>
      <c r="H54" s="2">
        <f>(G54*D54)/E54</f>
        <v>5.1924161789695028E-2</v>
      </c>
      <c r="I54" s="6">
        <f>F54*SQRT(1-$J$1)</f>
        <v>6.0199917882528479E-2</v>
      </c>
      <c r="J54" s="6">
        <f t="shared" si="4"/>
        <v>6.0199917882528479E-2</v>
      </c>
      <c r="K54" s="2">
        <f t="shared" si="2"/>
        <v>4.496764318008916E-2</v>
      </c>
      <c r="O54" s="2">
        <f>AVERAGEIFS(Data!H$2:H$811,Data!$C$2:$C$811,$A54,Data!$D$2:$D$811,$C54)</f>
        <v>2.4811982356181359E-2</v>
      </c>
      <c r="P54" t="str">
        <f t="shared" si="3"/>
        <v/>
      </c>
      <c r="Q54" s="13"/>
    </row>
    <row r="55" spans="1:17" x14ac:dyDescent="0.35">
      <c r="A55" s="3">
        <v>13500</v>
      </c>
      <c r="B55" s="3" t="str">
        <f t="shared" si="0"/>
        <v/>
      </c>
      <c r="C55" t="s">
        <v>10</v>
      </c>
      <c r="D55" s="2">
        <v>369.16672453040735</v>
      </c>
      <c r="E55" s="2">
        <v>490.45823445694839</v>
      </c>
      <c r="F55" s="6">
        <f>AVERAGEIFS(Data!K$2:K$811,Data!$C$2:$C$811,$A55,Data!$D$2:$D$811,$C55)</f>
        <v>6.8299123200727258E-2</v>
      </c>
      <c r="G55" s="6">
        <f>F55</f>
        <v>6.8299123200727258E-2</v>
      </c>
      <c r="H55" s="2">
        <f>(G55*D55)/E55</f>
        <v>5.1408584521429733E-2</v>
      </c>
      <c r="I55" s="6">
        <f>F55*SQRT(1-$J$1)</f>
        <v>5.9148775748032942E-2</v>
      </c>
      <c r="J55" s="6">
        <f t="shared" si="4"/>
        <v>5.9148775748032942E-2</v>
      </c>
      <c r="K55" s="2">
        <f t="shared" si="2"/>
        <v>4.4521140168157627E-2</v>
      </c>
      <c r="O55" s="2">
        <f>AVERAGEIFS(Data!H$2:H$811,Data!$C$2:$C$811,$A55,Data!$D$2:$D$811,$C55)</f>
        <v>2.4378743889879213E-2</v>
      </c>
      <c r="P55" t="str">
        <f t="shared" si="3"/>
        <v/>
      </c>
      <c r="Q55" s="13"/>
    </row>
    <row r="56" spans="1:17" x14ac:dyDescent="0.35">
      <c r="A56" s="3">
        <v>14000</v>
      </c>
      <c r="B56" s="3" t="str">
        <f t="shared" si="0"/>
        <v>Logged2</v>
      </c>
      <c r="C56" t="s">
        <v>10</v>
      </c>
      <c r="D56" s="2">
        <v>373.621233943927</v>
      </c>
      <c r="E56" s="2">
        <v>495.81395459782254</v>
      </c>
      <c r="F56" s="6">
        <f>AVERAGEIFS(Data!K$2:K$811,Data!$C$2:$C$811,$A56,Data!$D$2:$D$811,$C56)</f>
        <v>6.7069000432943268E-2</v>
      </c>
      <c r="G56" s="6">
        <f>F56</f>
        <v>6.7069000432943268E-2</v>
      </c>
      <c r="H56" s="2">
        <f>(G56*D56)/E56</f>
        <v>5.0539930287900138E-2</v>
      </c>
      <c r="I56" s="6">
        <f>F56*SQRT(1-$J$1)</f>
        <v>5.8083458181358384E-2</v>
      </c>
      <c r="J56" s="6">
        <f t="shared" si="4"/>
        <v>5.8083458181358384E-2</v>
      </c>
      <c r="K56" s="2">
        <f t="shared" si="2"/>
        <v>4.3768863534816099E-2</v>
      </c>
      <c r="L56">
        <v>2</v>
      </c>
      <c r="M56" s="3">
        <f>A56/2*L56</f>
        <v>14000</v>
      </c>
      <c r="N56">
        <v>2.8015850000000002</v>
      </c>
      <c r="O56" s="2">
        <f>AVERAGEIFS(Data!H$2:H$811,Data!$C$2:$C$811,$A56,Data!$D$2:$D$811,$C56)</f>
        <v>2.3939662881170221E-2</v>
      </c>
      <c r="P56">
        <f t="shared" si="3"/>
        <v>6.7069000432943282E-2</v>
      </c>
      <c r="Q56" s="13">
        <f>P56</f>
        <v>6.7069000432943282E-2</v>
      </c>
    </row>
    <row r="57" spans="1:17" x14ac:dyDescent="0.35">
      <c r="A57" s="3">
        <v>1000</v>
      </c>
      <c r="B57" s="3" t="str">
        <f t="shared" si="0"/>
        <v/>
      </c>
      <c r="C57" t="s">
        <v>11</v>
      </c>
      <c r="D57" s="2">
        <v>352.9671442021355</v>
      </c>
      <c r="E57" s="2">
        <v>502.718968031055</v>
      </c>
      <c r="F57" s="6">
        <f>AVERAGEIFS(Data!K$2:K$811,Data!$C$2:$C$811,$A57,Data!$D$2:$D$811,$C57)</f>
        <v>0.26728231676681002</v>
      </c>
      <c r="G57" s="6">
        <f>F57</f>
        <v>0.26728231676681002</v>
      </c>
      <c r="H57" s="2">
        <f>(G57*D57)/E57</f>
        <v>0.18766325132789421</v>
      </c>
      <c r="I57" s="6">
        <f>F57*SQRT(1-$J$1)</f>
        <v>0.23147327630241687</v>
      </c>
      <c r="J57" s="6">
        <f t="shared" si="4"/>
        <v>0.23147327630241687</v>
      </c>
      <c r="K57" s="2">
        <f t="shared" si="2"/>
        <v>0.16252114300674017</v>
      </c>
      <c r="O57" s="2">
        <f>AVERAGEIFS(Data!H$2:H$811,Data!$C$2:$C$811,$A57,Data!$D$2:$D$811,$C57)</f>
        <v>9.5403964815206382E-2</v>
      </c>
      <c r="P57" t="str">
        <f t="shared" si="3"/>
        <v/>
      </c>
      <c r="Q57" s="13"/>
    </row>
    <row r="58" spans="1:17" x14ac:dyDescent="0.35">
      <c r="A58" s="3">
        <v>1500</v>
      </c>
      <c r="B58" s="3" t="str">
        <f t="shared" si="0"/>
        <v/>
      </c>
      <c r="C58" t="s">
        <v>11</v>
      </c>
      <c r="D58" s="2">
        <v>365.79894359904409</v>
      </c>
      <c r="E58" s="2">
        <v>500.69934275406104</v>
      </c>
      <c r="F58" s="6">
        <f>AVERAGEIFS(Data!K$2:K$811,Data!$C$2:$C$811,$A58,Data!$D$2:$D$811,$C58)</f>
        <v>0.20450008193270225</v>
      </c>
      <c r="G58" s="6">
        <f>F58</f>
        <v>0.20450008193270225</v>
      </c>
      <c r="H58" s="2">
        <f>(G58*D58)/E58</f>
        <v>0.14940286025828564</v>
      </c>
      <c r="I58" s="6">
        <f>F58*SQRT(1-$J$1)</f>
        <v>0.17710226602971924</v>
      </c>
      <c r="J58" s="6">
        <f t="shared" si="4"/>
        <v>0.17710226602971924</v>
      </c>
      <c r="K58" s="2">
        <f t="shared" si="2"/>
        <v>0.12938667238173188</v>
      </c>
      <c r="O58" s="2">
        <f>AVERAGEIFS(Data!H$2:H$811,Data!$C$2:$C$811,$A58,Data!$D$2:$D$811,$C58)</f>
        <v>7.2994423489811028E-2</v>
      </c>
      <c r="P58" t="str">
        <f t="shared" si="3"/>
        <v/>
      </c>
      <c r="Q58" s="13"/>
    </row>
    <row r="59" spans="1:17" x14ac:dyDescent="0.35">
      <c r="A59" s="3">
        <v>2000</v>
      </c>
      <c r="B59" s="3" t="str">
        <f t="shared" si="0"/>
        <v/>
      </c>
      <c r="C59" t="s">
        <v>11</v>
      </c>
      <c r="D59" s="2">
        <v>374.64124962242033</v>
      </c>
      <c r="E59" s="2">
        <v>524.52543481990301</v>
      </c>
      <c r="F59" s="6">
        <f>AVERAGEIFS(Data!K$2:K$811,Data!$C$2:$C$811,$A59,Data!$D$2:$D$811,$C59)</f>
        <v>0.17269662439637221</v>
      </c>
      <c r="G59" s="6">
        <f>F59</f>
        <v>0.17269662439637221</v>
      </c>
      <c r="H59" s="2">
        <f>(G59*D59)/E59</f>
        <v>0.12334822083822357</v>
      </c>
      <c r="I59" s="6">
        <f>F59*SQRT(1-$J$1)</f>
        <v>0.14955966387507777</v>
      </c>
      <c r="J59" s="6">
        <f t="shared" si="4"/>
        <v>0.14955966387507777</v>
      </c>
      <c r="K59" s="2">
        <f t="shared" si="2"/>
        <v>0.10682269275751469</v>
      </c>
      <c r="O59" s="2">
        <f>AVERAGEIFS(Data!H$2:H$811,Data!$C$2:$C$811,$A59,Data!$D$2:$D$811,$C59)</f>
        <v>6.1642471813766933E-2</v>
      </c>
      <c r="P59" t="str">
        <f t="shared" si="3"/>
        <v/>
      </c>
      <c r="Q59" s="13"/>
    </row>
    <row r="60" spans="1:17" x14ac:dyDescent="0.35">
      <c r="A60" s="3">
        <v>2500</v>
      </c>
      <c r="B60" s="3" t="str">
        <f t="shared" si="0"/>
        <v/>
      </c>
      <c r="C60" t="s">
        <v>11</v>
      </c>
      <c r="D60" s="2">
        <v>372.90861411560752</v>
      </c>
      <c r="E60" s="2">
        <v>514.06641516219747</v>
      </c>
      <c r="F60" s="6">
        <f>AVERAGEIFS(Data!K$2:K$811,Data!$C$2:$C$811,$A60,Data!$D$2:$D$811,$C60)</f>
        <v>0.15447316554553198</v>
      </c>
      <c r="G60" s="6">
        <f>F60</f>
        <v>0.15447316554553198</v>
      </c>
      <c r="H60" s="2">
        <f>(G60*D60)/E60</f>
        <v>0.11205628763641347</v>
      </c>
      <c r="I60" s="6">
        <f>F60*SQRT(1-$J$1)</f>
        <v>0.13377768556542977</v>
      </c>
      <c r="J60" s="6">
        <f t="shared" si="4"/>
        <v>0.13377768556542977</v>
      </c>
      <c r="K60" s="2">
        <f t="shared" si="2"/>
        <v>9.7043591746910171E-2</v>
      </c>
      <c r="O60" s="2">
        <f>AVERAGEIFS(Data!H$2:H$811,Data!$C$2:$C$811,$A60,Data!$D$2:$D$811,$C60)</f>
        <v>5.5137775775331452E-2</v>
      </c>
      <c r="P60" t="str">
        <f t="shared" si="3"/>
        <v/>
      </c>
      <c r="Q60" s="13"/>
    </row>
    <row r="61" spans="1:17" x14ac:dyDescent="0.35">
      <c r="A61" s="3">
        <v>3000</v>
      </c>
      <c r="B61" s="3" t="str">
        <f t="shared" si="0"/>
        <v/>
      </c>
      <c r="C61" t="s">
        <v>11</v>
      </c>
      <c r="D61" s="2">
        <v>367.20965645988377</v>
      </c>
      <c r="E61" s="2">
        <v>485.21683077310053</v>
      </c>
      <c r="F61" s="6">
        <f>AVERAGEIFS(Data!K$2:K$811,Data!$C$2:$C$811,$A61,Data!$D$2:$D$811,$C61)</f>
        <v>0.1391135935270375</v>
      </c>
      <c r="G61" s="6">
        <f>F61</f>
        <v>0.1391135935270375</v>
      </c>
      <c r="H61" s="2">
        <f>(G61*D61)/E61</f>
        <v>0.10528046771702244</v>
      </c>
      <c r="I61" s="6">
        <f>F61*SQRT(1-$J$1)</f>
        <v>0.12047590600615692</v>
      </c>
      <c r="J61" s="6">
        <f t="shared" si="4"/>
        <v>0.12047590600615692</v>
      </c>
      <c r="K61" s="2">
        <f t="shared" si="2"/>
        <v>9.1175559565248906E-2</v>
      </c>
      <c r="O61" s="2">
        <f>AVERAGEIFS(Data!H$2:H$811,Data!$C$2:$C$811,$A61,Data!$D$2:$D$811,$C61)</f>
        <v>4.9655317802971347E-2</v>
      </c>
      <c r="P61" t="str">
        <f t="shared" si="3"/>
        <v/>
      </c>
      <c r="Q61" s="13"/>
    </row>
    <row r="62" spans="1:17" x14ac:dyDescent="0.35">
      <c r="A62" s="3">
        <v>3500</v>
      </c>
      <c r="B62" s="3" t="str">
        <f t="shared" si="0"/>
        <v/>
      </c>
      <c r="C62" t="s">
        <v>11</v>
      </c>
      <c r="D62" s="2">
        <v>369.24659744006436</v>
      </c>
      <c r="E62" s="2">
        <v>515.85342844666093</v>
      </c>
      <c r="F62" s="6">
        <f>AVERAGEIFS(Data!K$2:K$811,Data!$C$2:$C$811,$A62,Data!$D$2:$D$811,$C62)</f>
        <v>0.12950154973261147</v>
      </c>
      <c r="G62" s="6">
        <f>F62</f>
        <v>0.12950154973261147</v>
      </c>
      <c r="H62" s="2">
        <f>(G62*D62)/E62</f>
        <v>9.269688629572892E-2</v>
      </c>
      <c r="I62" s="6">
        <f>F62*SQRT(1-$J$1)</f>
        <v>0.1121516318978954</v>
      </c>
      <c r="J62" s="6">
        <f t="shared" si="4"/>
        <v>0.1121516318978954</v>
      </c>
      <c r="K62" s="2">
        <f t="shared" si="2"/>
        <v>8.0277858383818831E-2</v>
      </c>
      <c r="O62" s="2">
        <f>AVERAGEIFS(Data!H$2:H$811,Data!$C$2:$C$811,$A62,Data!$D$2:$D$811,$C62)</f>
        <v>4.6224387171051907E-2</v>
      </c>
      <c r="P62" t="str">
        <f t="shared" si="3"/>
        <v/>
      </c>
      <c r="Q62" s="13"/>
    </row>
    <row r="63" spans="1:17" x14ac:dyDescent="0.35">
      <c r="A63" s="3">
        <v>4000</v>
      </c>
      <c r="B63" s="3" t="str">
        <f t="shared" si="0"/>
        <v/>
      </c>
      <c r="C63" t="s">
        <v>11</v>
      </c>
      <c r="D63" s="2">
        <v>368.67233868551403</v>
      </c>
      <c r="E63" s="2">
        <v>485.90238366288787</v>
      </c>
      <c r="F63" s="6">
        <f>AVERAGEIFS(Data!K$2:K$811,Data!$C$2:$C$811,$A63,Data!$D$2:$D$811,$C63)</f>
        <v>0.11927680896974553</v>
      </c>
      <c r="G63" s="6">
        <f>F63</f>
        <v>0.11927680896974553</v>
      </c>
      <c r="H63" s="2">
        <f>(G63*D63)/E63</f>
        <v>9.0499782656612682E-2</v>
      </c>
      <c r="I63" s="6">
        <f>F63*SQRT(1-$J$1)</f>
        <v>0.10329674665014323</v>
      </c>
      <c r="J63" s="6">
        <f t="shared" si="4"/>
        <v>0.10329674665014323</v>
      </c>
      <c r="K63" s="2">
        <f t="shared" si="2"/>
        <v>7.8375110817596932E-2</v>
      </c>
      <c r="O63" s="2">
        <f>AVERAGEIFS(Data!H$2:H$811,Data!$C$2:$C$811,$A63,Data!$D$2:$D$811,$C63)</f>
        <v>4.2574759991128433E-2</v>
      </c>
      <c r="P63" t="str">
        <f t="shared" si="3"/>
        <v/>
      </c>
      <c r="Q63" s="13"/>
    </row>
    <row r="64" spans="1:17" x14ac:dyDescent="0.35">
      <c r="A64" s="3">
        <v>4500</v>
      </c>
      <c r="B64" s="3" t="str">
        <f t="shared" si="0"/>
        <v/>
      </c>
      <c r="C64" t="s">
        <v>11</v>
      </c>
      <c r="D64" s="2">
        <v>364.21356649884109</v>
      </c>
      <c r="E64" s="2">
        <v>474.70417075246752</v>
      </c>
      <c r="F64" s="6">
        <f>AVERAGEIFS(Data!K$2:K$811,Data!$C$2:$C$811,$A64,Data!$D$2:$D$811,$C64)</f>
        <v>0.1125873328267247</v>
      </c>
      <c r="G64" s="6">
        <f>F64</f>
        <v>0.1125873328267247</v>
      </c>
      <c r="H64" s="2">
        <f>(G64*D64)/E64</f>
        <v>8.6381870136961081E-2</v>
      </c>
      <c r="I64" s="6">
        <f>F64*SQRT(1-$J$1)</f>
        <v>9.7503490372277235E-2</v>
      </c>
      <c r="J64" s="6">
        <f t="shared" si="4"/>
        <v>9.7503490372277235E-2</v>
      </c>
      <c r="K64" s="2">
        <f t="shared" si="2"/>
        <v>7.4808893965016665E-2</v>
      </c>
      <c r="O64" s="2">
        <f>AVERAGEIFS(Data!H$2:H$811,Data!$C$2:$C$811,$A64,Data!$D$2:$D$811,$C64)</f>
        <v>4.0187013003969083E-2</v>
      </c>
      <c r="P64" t="str">
        <f t="shared" si="3"/>
        <v/>
      </c>
      <c r="Q64" s="13"/>
    </row>
    <row r="65" spans="1:17" x14ac:dyDescent="0.35">
      <c r="A65" s="3">
        <v>5000</v>
      </c>
      <c r="B65" s="3" t="str">
        <f t="shared" si="0"/>
        <v/>
      </c>
      <c r="C65" t="s">
        <v>11</v>
      </c>
      <c r="D65" s="2">
        <v>363.74410955056373</v>
      </c>
      <c r="E65" s="2">
        <v>482.40513939095189</v>
      </c>
      <c r="F65" s="6">
        <f>AVERAGEIFS(Data!K$2:K$811,Data!$C$2:$C$811,$A65,Data!$D$2:$D$811,$C65)</f>
        <v>0.10564263340755682</v>
      </c>
      <c r="G65" s="6">
        <f>F65</f>
        <v>0.10564263340755682</v>
      </c>
      <c r="H65" s="2">
        <f>(G65*D65)/E65</f>
        <v>7.965687444359168E-2</v>
      </c>
      <c r="I65" s="6">
        <f>F65*SQRT(1-$J$1)</f>
        <v>9.1489204253630815E-2</v>
      </c>
      <c r="J65" s="6">
        <f t="shared" si="4"/>
        <v>9.1489204253630815E-2</v>
      </c>
      <c r="K65" s="2">
        <f t="shared" si="2"/>
        <v>6.8984876854217794E-2</v>
      </c>
      <c r="O65" s="2">
        <f>AVERAGEIFS(Data!H$2:H$811,Data!$C$2:$C$811,$A65,Data!$D$2:$D$811,$C65)</f>
        <v>3.770816641563858E-2</v>
      </c>
      <c r="P65" t="str">
        <f t="shared" si="3"/>
        <v/>
      </c>
      <c r="Q65" s="13"/>
    </row>
    <row r="66" spans="1:17" x14ac:dyDescent="0.35">
      <c r="A66" s="3">
        <v>5500</v>
      </c>
      <c r="B66" s="3" t="str">
        <f t="shared" si="0"/>
        <v>Poisson5</v>
      </c>
      <c r="C66" t="s">
        <v>11</v>
      </c>
      <c r="D66" s="2">
        <v>369.63596382963578</v>
      </c>
      <c r="E66" s="2">
        <v>495.1064030702745</v>
      </c>
      <c r="F66" s="6">
        <f>AVERAGEIFS(Data!K$2:K$811,Data!$C$2:$C$811,$A66,Data!$D$2:$D$811,$C66)</f>
        <v>0.10094022283696676</v>
      </c>
      <c r="G66" s="6">
        <f>F66</f>
        <v>0.10094022283696676</v>
      </c>
      <c r="H66" s="2">
        <f>(G66*D66)/E66</f>
        <v>7.5359834423762331E-2</v>
      </c>
      <c r="I66" s="6">
        <f>F66*SQRT(1-$J$1)</f>
        <v>8.7416797240475339E-2</v>
      </c>
      <c r="J66" s="6">
        <f t="shared" si="4"/>
        <v>8.7416797240475339E-2</v>
      </c>
      <c r="K66" s="2">
        <f t="shared" si="2"/>
        <v>6.5263531035967201E-2</v>
      </c>
      <c r="L66">
        <v>5</v>
      </c>
      <c r="M66" s="3">
        <f>A66/2*L66</f>
        <v>13750</v>
      </c>
      <c r="N66">
        <v>3.3393269999999999</v>
      </c>
      <c r="O66" s="2">
        <f>AVERAGEIFS(Data!H$2:H$811,Data!$C$2:$C$811,$A66,Data!$D$2:$D$811,$C66)</f>
        <v>3.6029684209819356E-2</v>
      </c>
      <c r="P66">
        <f t="shared" si="3"/>
        <v>0.12031489728332344</v>
      </c>
      <c r="Q66" s="13">
        <f>P66</f>
        <v>0.12031489728332344</v>
      </c>
    </row>
    <row r="67" spans="1:17" x14ac:dyDescent="0.35">
      <c r="A67" s="3">
        <v>6000</v>
      </c>
      <c r="B67" s="3" t="str">
        <f t="shared" si="0"/>
        <v/>
      </c>
      <c r="C67" t="s">
        <v>11</v>
      </c>
      <c r="D67" s="2">
        <v>374.82024884121557</v>
      </c>
      <c r="E67" s="2">
        <v>508.59595201456443</v>
      </c>
      <c r="F67" s="6">
        <f>AVERAGEIFS(Data!K$2:K$811,Data!$C$2:$C$811,$A67,Data!$D$2:$D$811,$C67)</f>
        <v>9.7419125621781358E-2</v>
      </c>
      <c r="G67" s="6">
        <f>F67</f>
        <v>9.7419125621781358E-2</v>
      </c>
      <c r="H67" s="2">
        <f>(G67*D67)/E67</f>
        <v>7.17950285738886E-2</v>
      </c>
      <c r="I67" s="6">
        <f>F67*SQRT(1-$J$1)</f>
        <v>8.4367437602930154E-2</v>
      </c>
      <c r="J67" s="6">
        <f t="shared" si="4"/>
        <v>8.4367437602930154E-2</v>
      </c>
      <c r="K67" s="2">
        <f t="shared" si="2"/>
        <v>6.2176318610417183E-2</v>
      </c>
      <c r="O67" s="2">
        <f>AVERAGEIFS(Data!H$2:H$811,Data!$C$2:$C$811,$A67,Data!$D$2:$D$811,$C67)</f>
        <v>3.4772860941853043E-2</v>
      </c>
      <c r="P67" t="str">
        <f t="shared" si="3"/>
        <v/>
      </c>
      <c r="Q67" s="13"/>
    </row>
    <row r="68" spans="1:17" x14ac:dyDescent="0.35">
      <c r="A68" s="3">
        <v>6500</v>
      </c>
      <c r="B68" s="3" t="str">
        <f t="shared" ref="B68:B83" si="5">IF(L68="","",C68&amp;L68)</f>
        <v/>
      </c>
      <c r="C68" t="s">
        <v>11</v>
      </c>
      <c r="D68" s="2">
        <v>373.03972783413599</v>
      </c>
      <c r="E68" s="2">
        <v>500.40382357944935</v>
      </c>
      <c r="F68" s="6">
        <f>AVERAGEIFS(Data!K$2:K$811,Data!$C$2:$C$811,$A68,Data!$D$2:$D$811,$C68)</f>
        <v>9.3078716551494939E-2</v>
      </c>
      <c r="G68" s="6">
        <f>F68</f>
        <v>9.3078716551494939E-2</v>
      </c>
      <c r="H68" s="2">
        <f>(G68*D68)/E68</f>
        <v>6.9388077095712916E-2</v>
      </c>
      <c r="I68" s="6">
        <f>F68*SQRT(1-$J$1)</f>
        <v>8.0608533085245709E-2</v>
      </c>
      <c r="J68" s="6">
        <f t="shared" si="4"/>
        <v>8.0608533085245709E-2</v>
      </c>
      <c r="K68" s="2">
        <f t="shared" ref="K68:K83" si="6">(J68*$D68)/$E68</f>
        <v>6.0091837484640538E-2</v>
      </c>
      <c r="O68" s="2">
        <f>AVERAGEIFS(Data!H$2:H$811,Data!$C$2:$C$811,$A68,Data!$D$2:$D$811,$C68)</f>
        <v>3.3223591842294606E-2</v>
      </c>
      <c r="P68" t="str">
        <f t="shared" ref="P68:P83" si="7">IF(N68="","",O68*N68)</f>
        <v/>
      </c>
      <c r="Q68" s="13"/>
    </row>
    <row r="69" spans="1:17" x14ac:dyDescent="0.35">
      <c r="A69" s="3">
        <v>7000</v>
      </c>
      <c r="B69" s="3" t="str">
        <f t="shared" si="5"/>
        <v>Poisson4</v>
      </c>
      <c r="C69" t="s">
        <v>11</v>
      </c>
      <c r="D69" s="2">
        <v>370.3618083996995</v>
      </c>
      <c r="E69" s="2">
        <v>487.55659091417812</v>
      </c>
      <c r="F69" s="6">
        <f>AVERAGEIFS(Data!K$2:K$811,Data!$C$2:$C$811,$A69,Data!$D$2:$D$811,$C69)</f>
        <v>8.9178214384840776E-2</v>
      </c>
      <c r="G69" s="6">
        <f>F69</f>
        <v>8.9178214384840776E-2</v>
      </c>
      <c r="H69" s="2">
        <f>(G69*D69)/E69</f>
        <v>6.7742299796413788E-2</v>
      </c>
      <c r="I69" s="6">
        <f>F69*SQRT(1-$J$1)</f>
        <v>7.7230599121406965E-2</v>
      </c>
      <c r="J69" s="6">
        <f t="shared" si="4"/>
        <v>7.7230599121406965E-2</v>
      </c>
      <c r="K69" s="2">
        <f t="shared" si="6"/>
        <v>5.8666552534475738E-2</v>
      </c>
      <c r="L69">
        <v>4</v>
      </c>
      <c r="M69" s="3">
        <f>A69/2*L69</f>
        <v>14000</v>
      </c>
      <c r="N69">
        <v>3.2356009999999999</v>
      </c>
      <c r="O69" s="2">
        <f>AVERAGEIFS(Data!H$2:H$811,Data!$C$2:$C$811,$A69,Data!$D$2:$D$811,$C69)</f>
        <v>3.1831343466230996E-2</v>
      </c>
      <c r="P69">
        <f t="shared" si="7"/>
        <v>0.10299352675068048</v>
      </c>
      <c r="Q69" s="13">
        <f>P69</f>
        <v>0.10299352675068048</v>
      </c>
    </row>
    <row r="70" spans="1:17" x14ac:dyDescent="0.35">
      <c r="A70" s="3">
        <v>7500</v>
      </c>
      <c r="B70" s="3" t="str">
        <f t="shared" si="5"/>
        <v/>
      </c>
      <c r="C70" t="s">
        <v>11</v>
      </c>
      <c r="D70" s="2">
        <v>366.4991341562669</v>
      </c>
      <c r="E70" s="2">
        <v>487.94351754547978</v>
      </c>
      <c r="F70" s="6">
        <f>AVERAGEIFS(Data!K$2:K$811,Data!$C$2:$C$811,$A70,Data!$D$2:$D$811,$C70)</f>
        <v>8.613529575120156E-2</v>
      </c>
      <c r="G70" s="6">
        <f>F70</f>
        <v>8.613529575120156E-2</v>
      </c>
      <c r="H70" s="2">
        <f>(G70*D70)/E70</f>
        <v>6.4697060577645529E-2</v>
      </c>
      <c r="I70" s="6">
        <f>F70*SQRT(1-$J$1)</f>
        <v>7.4595354283026369E-2</v>
      </c>
      <c r="J70" s="6">
        <f t="shared" si="4"/>
        <v>7.4595354283026369E-2</v>
      </c>
      <c r="K70" s="2">
        <f t="shared" si="6"/>
        <v>5.6029298010421745E-2</v>
      </c>
      <c r="O70" s="2">
        <f>AVERAGEIFS(Data!H$2:H$811,Data!$C$2:$C$811,$A70,Data!$D$2:$D$811,$C70)</f>
        <v>3.0745201645212099E-2</v>
      </c>
      <c r="P70" t="str">
        <f t="shared" si="7"/>
        <v/>
      </c>
      <c r="Q70" s="13"/>
    </row>
    <row r="71" spans="1:17" x14ac:dyDescent="0.35">
      <c r="A71" s="3">
        <v>8000</v>
      </c>
      <c r="B71" s="3" t="str">
        <f t="shared" si="5"/>
        <v/>
      </c>
      <c r="C71" t="s">
        <v>11</v>
      </c>
      <c r="D71" s="2">
        <v>372.56038491284596</v>
      </c>
      <c r="E71" s="2">
        <v>504.52570115759306</v>
      </c>
      <c r="F71" s="6">
        <f>AVERAGEIFS(Data!K$2:K$811,Data!$C$2:$C$811,$A71,Data!$D$2:$D$811,$C71)</f>
        <v>8.3734070017080858E-2</v>
      </c>
      <c r="G71" s="6">
        <f>F71</f>
        <v>8.3734070017080858E-2</v>
      </c>
      <c r="H71" s="2">
        <f>(G71*D71)/E71</f>
        <v>6.1832325457962134E-2</v>
      </c>
      <c r="I71" s="6">
        <f>F71*SQRT(1-$J$1)</f>
        <v>7.2515831797056909E-2</v>
      </c>
      <c r="J71" s="6">
        <f t="shared" si="4"/>
        <v>7.2515831797056909E-2</v>
      </c>
      <c r="K71" s="2">
        <f t="shared" si="6"/>
        <v>5.354836462166248E-2</v>
      </c>
      <c r="O71" s="2">
        <f>AVERAGEIFS(Data!H$2:H$811,Data!$C$2:$C$811,$A71,Data!$D$2:$D$811,$C71)</f>
        <v>2.9888106203124615E-2</v>
      </c>
      <c r="P71" t="str">
        <f t="shared" si="7"/>
        <v/>
      </c>
      <c r="Q71" s="13"/>
    </row>
    <row r="72" spans="1:17" x14ac:dyDescent="0.35">
      <c r="A72" s="3">
        <v>8500</v>
      </c>
      <c r="B72" s="3" t="str">
        <f t="shared" si="5"/>
        <v/>
      </c>
      <c r="C72" t="s">
        <v>11</v>
      </c>
      <c r="D72" s="2">
        <v>372.00888211229426</v>
      </c>
      <c r="E72" s="2">
        <v>498.20490338263397</v>
      </c>
      <c r="F72" s="6">
        <f>AVERAGEIFS(Data!K$2:K$811,Data!$C$2:$C$811,$A72,Data!$D$2:$D$811,$C72)</f>
        <v>8.1345138728393135E-2</v>
      </c>
      <c r="G72" s="6">
        <f>F72</f>
        <v>8.1345138728393135E-2</v>
      </c>
      <c r="H72" s="2">
        <f>(G72*D72)/E72</f>
        <v>6.0740297652947271E-2</v>
      </c>
      <c r="I72" s="6">
        <f>F72*SQRT(1-$J$1)</f>
        <v>7.0446956613157835E-2</v>
      </c>
      <c r="J72" s="6">
        <f t="shared" si="4"/>
        <v>7.0446956613157835E-2</v>
      </c>
      <c r="K72" s="2">
        <f t="shared" si="6"/>
        <v>5.2602640800880646E-2</v>
      </c>
      <c r="O72" s="2">
        <f>AVERAGEIFS(Data!H$2:H$811,Data!$C$2:$C$811,$A72,Data!$D$2:$D$811,$C72)</f>
        <v>2.9035399150264273E-2</v>
      </c>
      <c r="P72" t="str">
        <f t="shared" si="7"/>
        <v/>
      </c>
      <c r="Q72" s="13"/>
    </row>
    <row r="73" spans="1:17" x14ac:dyDescent="0.35">
      <c r="A73" s="3">
        <v>9000</v>
      </c>
      <c r="B73" s="3" t="str">
        <f t="shared" si="5"/>
        <v/>
      </c>
      <c r="C73" t="s">
        <v>11</v>
      </c>
      <c r="D73" s="2">
        <v>371.81327181450285</v>
      </c>
      <c r="E73" s="2">
        <v>496.50735813442668</v>
      </c>
      <c r="F73" s="6">
        <f>AVERAGEIFS(Data!K$2:K$811,Data!$C$2:$C$811,$A73,Data!$D$2:$D$811,$C73)</f>
        <v>7.8924749839366551E-2</v>
      </c>
      <c r="G73" s="6">
        <f>F73</f>
        <v>7.8924749839366551E-2</v>
      </c>
      <c r="H73" s="2">
        <f>(G73*D73)/E73</f>
        <v>5.910339289870295E-2</v>
      </c>
      <c r="I73" s="6">
        <f>F73*SQRT(1-$J$1)</f>
        <v>6.8350838348223225E-2</v>
      </c>
      <c r="J73" s="6">
        <f t="shared" si="4"/>
        <v>6.8350838348223225E-2</v>
      </c>
      <c r="K73" s="2">
        <f t="shared" si="6"/>
        <v>5.1185039700129546E-2</v>
      </c>
      <c r="O73" s="2">
        <f>AVERAGEIFS(Data!H$2:H$811,Data!$C$2:$C$811,$A73,Data!$D$2:$D$811,$C73)</f>
        <v>2.8171463596273733E-2</v>
      </c>
      <c r="P73" t="str">
        <f t="shared" si="7"/>
        <v/>
      </c>
      <c r="Q73" s="13"/>
    </row>
    <row r="74" spans="1:17" x14ac:dyDescent="0.35">
      <c r="A74" s="3">
        <v>9500</v>
      </c>
      <c r="B74" s="3" t="str">
        <f t="shared" si="5"/>
        <v>Poisson3</v>
      </c>
      <c r="C74" t="s">
        <v>11</v>
      </c>
      <c r="D74" s="2">
        <v>366.81752117056004</v>
      </c>
      <c r="E74" s="2">
        <v>490.18685875069241</v>
      </c>
      <c r="F74" s="6">
        <f>AVERAGEIFS(Data!K$2:K$811,Data!$C$2:$C$811,$A74,Data!$D$2:$D$811,$C74)</f>
        <v>7.6620390980098735E-2</v>
      </c>
      <c r="G74" s="6">
        <f>F74</f>
        <v>7.6620390980098735E-2</v>
      </c>
      <c r="H74" s="2">
        <f>(G74*D74)/E74</f>
        <v>5.7336710253861438E-2</v>
      </c>
      <c r="I74" s="6">
        <f>F74*SQRT(1-$J$1)</f>
        <v>6.6355205036661563E-2</v>
      </c>
      <c r="J74" s="6">
        <f t="shared" si="4"/>
        <v>6.6355205036661563E-2</v>
      </c>
      <c r="K74" s="2">
        <f t="shared" si="6"/>
        <v>4.9655047649271714E-2</v>
      </c>
      <c r="L74">
        <v>3</v>
      </c>
      <c r="M74" s="3">
        <f>A74/2*L74</f>
        <v>14250</v>
      </c>
      <c r="N74">
        <v>3.083024</v>
      </c>
      <c r="O74" s="2">
        <f>AVERAGEIFS(Data!H$2:H$811,Data!$C$2:$C$811,$A74,Data!$D$2:$D$811,$C74)</f>
        <v>2.7348943894295104E-2</v>
      </c>
      <c r="P74">
        <f t="shared" si="7"/>
        <v>8.431745040076527E-2</v>
      </c>
      <c r="Q74" s="13">
        <f>P74</f>
        <v>8.431745040076527E-2</v>
      </c>
    </row>
    <row r="75" spans="1:17" x14ac:dyDescent="0.35">
      <c r="A75" s="3">
        <v>10000</v>
      </c>
      <c r="B75" s="3" t="str">
        <f t="shared" si="5"/>
        <v/>
      </c>
      <c r="C75" t="s">
        <v>11</v>
      </c>
      <c r="D75" s="2">
        <v>363.01858572239877</v>
      </c>
      <c r="E75" s="2">
        <v>482.63082252909152</v>
      </c>
      <c r="F75" s="6">
        <f>AVERAGEIFS(Data!K$2:K$811,Data!$C$2:$C$811,$A75,Data!$D$2:$D$811,$C75)</f>
        <v>7.4976445209373715E-2</v>
      </c>
      <c r="G75" s="6">
        <f>F75</f>
        <v>7.4976445209373715E-2</v>
      </c>
      <c r="H75" s="2">
        <f>(G75*D75)/E75</f>
        <v>5.6394746940885976E-2</v>
      </c>
      <c r="I75" s="6">
        <f>F75*SQRT(1-$J$1)</f>
        <v>6.4931506236769715E-2</v>
      </c>
      <c r="J75" s="6">
        <f t="shared" si="4"/>
        <v>6.4931506236769715E-2</v>
      </c>
      <c r="K75" s="2">
        <f t="shared" si="6"/>
        <v>4.8839283490802021E-2</v>
      </c>
      <c r="O75" s="2">
        <f>AVERAGEIFS(Data!H$2:H$811,Data!$C$2:$C$811,$A75,Data!$D$2:$D$811,$C75)</f>
        <v>2.6762152570553348E-2</v>
      </c>
      <c r="P75" t="str">
        <f t="shared" si="7"/>
        <v/>
      </c>
      <c r="Q75" s="13"/>
    </row>
    <row r="76" spans="1:17" x14ac:dyDescent="0.35">
      <c r="A76" s="3">
        <v>10500</v>
      </c>
      <c r="B76" s="3" t="str">
        <f t="shared" si="5"/>
        <v/>
      </c>
      <c r="C76" t="s">
        <v>11</v>
      </c>
      <c r="D76" s="2">
        <v>367.00261209903817</v>
      </c>
      <c r="E76" s="2">
        <v>490.63257028419912</v>
      </c>
      <c r="F76" s="6">
        <f>AVERAGEIFS(Data!K$2:K$811,Data!$C$2:$C$811,$A76,Data!$D$2:$D$811,$C76)</f>
        <v>7.2822526523676032E-2</v>
      </c>
      <c r="G76" s="6">
        <f>F76</f>
        <v>7.2822526523676032E-2</v>
      </c>
      <c r="H76" s="2">
        <f>(G76*D76)/E76</f>
        <v>5.4472652393133036E-2</v>
      </c>
      <c r="I76" s="6">
        <f>F76*SQRT(1-$J$1)</f>
        <v>6.3066157937269524E-2</v>
      </c>
      <c r="J76" s="6">
        <f t="shared" si="4"/>
        <v>6.3066157937269524E-2</v>
      </c>
      <c r="K76" s="2">
        <f t="shared" si="6"/>
        <v>4.7174700783972408E-2</v>
      </c>
      <c r="O76" s="2">
        <f>AVERAGEIFS(Data!H$2:H$811,Data!$C$2:$C$811,$A76,Data!$D$2:$D$811,$C76)</f>
        <v>2.599333110495524E-2</v>
      </c>
      <c r="P76" t="str">
        <f t="shared" si="7"/>
        <v/>
      </c>
      <c r="Q76" s="13"/>
    </row>
    <row r="77" spans="1:17" x14ac:dyDescent="0.35">
      <c r="A77" s="3">
        <v>11000</v>
      </c>
      <c r="B77" s="3" t="str">
        <f t="shared" si="5"/>
        <v/>
      </c>
      <c r="C77" t="s">
        <v>11</v>
      </c>
      <c r="D77" s="2">
        <v>365.37411281853372</v>
      </c>
      <c r="E77" s="2">
        <v>480.01567226212393</v>
      </c>
      <c r="F77" s="6">
        <f>AVERAGEIFS(Data!K$2:K$811,Data!$C$2:$C$811,$A77,Data!$D$2:$D$811,$C77)</f>
        <v>7.0833227107847424E-2</v>
      </c>
      <c r="G77" s="6">
        <f>F77</f>
        <v>7.0833227107847424E-2</v>
      </c>
      <c r="H77" s="2">
        <f>(G77*D77)/E77</f>
        <v>5.3916213590773622E-2</v>
      </c>
      <c r="I77" s="6">
        <f>F77*SQRT(1-$J$1)</f>
        <v>6.1343374107428406E-2</v>
      </c>
      <c r="J77" s="6">
        <f t="shared" si="4"/>
        <v>6.1343374107428406E-2</v>
      </c>
      <c r="K77" s="2">
        <f t="shared" si="6"/>
        <v>4.6692810645477763E-2</v>
      </c>
      <c r="O77" s="2">
        <f>AVERAGEIFS(Data!H$2:H$811,Data!$C$2:$C$811,$A77,Data!$D$2:$D$811,$C77)</f>
        <v>2.5283268973758582E-2</v>
      </c>
      <c r="P77" t="str">
        <f t="shared" si="7"/>
        <v/>
      </c>
      <c r="Q77" s="13"/>
    </row>
    <row r="78" spans="1:17" x14ac:dyDescent="0.35">
      <c r="A78" s="3">
        <v>11500</v>
      </c>
      <c r="B78" s="3" t="str">
        <f t="shared" si="5"/>
        <v/>
      </c>
      <c r="C78" t="s">
        <v>11</v>
      </c>
      <c r="D78" s="2">
        <v>363.50026129812966</v>
      </c>
      <c r="E78" s="2">
        <v>473.63935514661307</v>
      </c>
      <c r="F78" s="6">
        <f>AVERAGEIFS(Data!K$2:K$811,Data!$C$2:$C$811,$A78,Data!$D$2:$D$811,$C78)</f>
        <v>6.8985506630086083E-2</v>
      </c>
      <c r="G78" s="6">
        <f>F78</f>
        <v>6.8985506630086083E-2</v>
      </c>
      <c r="H78" s="2">
        <f>(G78*D78)/E78</f>
        <v>5.2943762829965643E-2</v>
      </c>
      <c r="I78" s="6">
        <f>F78*SQRT(1-$J$1)</f>
        <v>5.9743201234594367E-2</v>
      </c>
      <c r="J78" s="6">
        <f t="shared" si="4"/>
        <v>5.9743201234594367E-2</v>
      </c>
      <c r="K78" s="2">
        <f t="shared" si="6"/>
        <v>4.585064358268854E-2</v>
      </c>
      <c r="O78" s="2">
        <f>AVERAGEIFS(Data!H$2:H$811,Data!$C$2:$C$811,$A78,Data!$D$2:$D$811,$C78)</f>
        <v>2.4623742142425121E-2</v>
      </c>
      <c r="P78" t="str">
        <f t="shared" si="7"/>
        <v/>
      </c>
      <c r="Q78" s="13"/>
    </row>
    <row r="79" spans="1:17" x14ac:dyDescent="0.35">
      <c r="A79" s="3">
        <v>12000</v>
      </c>
      <c r="B79" s="3" t="str">
        <f t="shared" si="5"/>
        <v/>
      </c>
      <c r="C79" t="s">
        <v>11</v>
      </c>
      <c r="D79" s="2">
        <v>370.28728873917896</v>
      </c>
      <c r="E79" s="2">
        <v>490.52498152681011</v>
      </c>
      <c r="F79" s="6">
        <f>AVERAGEIFS(Data!K$2:K$811,Data!$C$2:$C$811,$A79,Data!$D$2:$D$811,$C79)</f>
        <v>6.7745789491187453E-2</v>
      </c>
      <c r="G79" s="6">
        <f>F79</f>
        <v>6.7745789491187453E-2</v>
      </c>
      <c r="H79" s="2">
        <f>(G79*D79)/E79</f>
        <v>5.1139912662768017E-2</v>
      </c>
      <c r="I79" s="6">
        <f>F79*SQRT(1-$J$1)</f>
        <v>5.8669574698801193E-2</v>
      </c>
      <c r="J79" s="6">
        <f t="shared" si="4"/>
        <v>5.8669574698801193E-2</v>
      </c>
      <c r="K79" s="2">
        <f t="shared" si="6"/>
        <v>4.4288463513274597E-2</v>
      </c>
      <c r="O79" s="2">
        <f>AVERAGEIFS(Data!H$2:H$811,Data!$C$2:$C$811,$A79,Data!$D$2:$D$811,$C79)</f>
        <v>2.4181236511184718E-2</v>
      </c>
      <c r="P79" t="str">
        <f t="shared" si="7"/>
        <v/>
      </c>
      <c r="Q79" s="13"/>
    </row>
    <row r="80" spans="1:17" x14ac:dyDescent="0.35">
      <c r="A80" s="3">
        <v>12500</v>
      </c>
      <c r="B80" s="3" t="str">
        <f t="shared" si="5"/>
        <v/>
      </c>
      <c r="C80" t="s">
        <v>11</v>
      </c>
      <c r="D80" s="2">
        <v>366.66109849394911</v>
      </c>
      <c r="E80" s="2">
        <v>494.25866390938262</v>
      </c>
      <c r="F80" s="6">
        <f>AVERAGEIFS(Data!K$2:K$811,Data!$C$2:$C$811,$A80,Data!$D$2:$D$811,$C80)</f>
        <v>6.6991195277668808E-2</v>
      </c>
      <c r="G80" s="6">
        <f>F80</f>
        <v>6.6991195277668808E-2</v>
      </c>
      <c r="H80" s="2">
        <f>(G80*D80)/E80</f>
        <v>4.9696782360169396E-2</v>
      </c>
      <c r="I80" s="6">
        <f>F80*SQRT(1-$J$1)</f>
        <v>5.8016076940345308E-2</v>
      </c>
      <c r="J80" s="6">
        <f t="shared" si="4"/>
        <v>5.8016076940345308E-2</v>
      </c>
      <c r="K80" s="2">
        <f t="shared" si="6"/>
        <v>4.3038676010253074E-2</v>
      </c>
      <c r="O80" s="2">
        <f>AVERAGEIFS(Data!H$2:H$811,Data!$C$2:$C$811,$A80,Data!$D$2:$D$811,$C80)</f>
        <v>2.3911891046557152E-2</v>
      </c>
      <c r="P80" t="str">
        <f t="shared" si="7"/>
        <v/>
      </c>
      <c r="Q80" s="13"/>
    </row>
    <row r="81" spans="1:17" x14ac:dyDescent="0.35">
      <c r="A81" s="3">
        <v>13000</v>
      </c>
      <c r="B81" s="3" t="str">
        <f t="shared" si="5"/>
        <v/>
      </c>
      <c r="C81" t="s">
        <v>11</v>
      </c>
      <c r="D81" s="2">
        <v>370.54841474819739</v>
      </c>
      <c r="E81" s="2">
        <v>496.0674512116683</v>
      </c>
      <c r="F81" s="6">
        <f>AVERAGEIFS(Data!K$2:K$811,Data!$C$2:$C$811,$A81,Data!$D$2:$D$811,$C81)</f>
        <v>6.5606999199561672E-2</v>
      </c>
      <c r="G81" s="13">
        <f>F81</f>
        <v>6.5606999199561672E-2</v>
      </c>
      <c r="H81" s="2">
        <f>(G81*D81)/E81</f>
        <v>4.9006580638185616E-2</v>
      </c>
      <c r="I81" s="6">
        <f>F81*SQRT(1-$J$1)</f>
        <v>5.6817327972885738E-2</v>
      </c>
      <c r="J81" s="6">
        <f t="shared" si="4"/>
        <v>5.6817327972885738E-2</v>
      </c>
      <c r="K81" s="2">
        <f t="shared" si="6"/>
        <v>4.244094378527935E-2</v>
      </c>
      <c r="O81" s="2">
        <f>AVERAGEIFS(Data!H$2:H$811,Data!$C$2:$C$811,$A81,Data!$D$2:$D$811,$C81)</f>
        <v>2.341781498671705E-2</v>
      </c>
      <c r="P81" t="str">
        <f t="shared" si="7"/>
        <v/>
      </c>
      <c r="Q81" s="13"/>
    </row>
    <row r="82" spans="1:17" x14ac:dyDescent="0.35">
      <c r="A82" s="3">
        <v>13500</v>
      </c>
      <c r="B82" s="3" t="str">
        <f t="shared" si="5"/>
        <v/>
      </c>
      <c r="C82" t="s">
        <v>11</v>
      </c>
      <c r="D82" s="2">
        <v>369.16672453040735</v>
      </c>
      <c r="E82" s="2">
        <v>490.45823445694839</v>
      </c>
      <c r="F82" s="6">
        <f>AVERAGEIFS(Data!K$2:K$811,Data!$C$2:$C$811,$A82,Data!$D$2:$D$811,$C82)</f>
        <v>6.4121104734758821E-2</v>
      </c>
      <c r="G82" s="13">
        <f>F82</f>
        <v>6.4121104734758821E-2</v>
      </c>
      <c r="H82" s="2">
        <f>(G82*D82)/E82</f>
        <v>4.8263800146839904E-2</v>
      </c>
      <c r="I82" s="6">
        <f>F82*SQRT(1-$J$1)</f>
        <v>5.5530505619023784E-2</v>
      </c>
      <c r="J82" s="6">
        <f t="shared" si="4"/>
        <v>5.5530505619023784E-2</v>
      </c>
      <c r="K82" s="2">
        <f t="shared" si="6"/>
        <v>4.1797677010338478E-2</v>
      </c>
      <c r="O82" s="2">
        <f>AVERAGEIFS(Data!H$2:H$811,Data!$C$2:$C$811,$A82,Data!$D$2:$D$811,$C82)</f>
        <v>2.2887438623050461E-2</v>
      </c>
      <c r="P82" t="str">
        <f t="shared" si="7"/>
        <v/>
      </c>
      <c r="Q82" s="13"/>
    </row>
    <row r="83" spans="1:17" x14ac:dyDescent="0.35">
      <c r="A83" s="3">
        <v>14000</v>
      </c>
      <c r="B83" s="3" t="str">
        <f t="shared" si="5"/>
        <v>Poisson2</v>
      </c>
      <c r="C83" t="s">
        <v>11</v>
      </c>
      <c r="D83" s="2">
        <v>373.621233943927</v>
      </c>
      <c r="E83" s="2">
        <v>495.81395459782254</v>
      </c>
      <c r="F83" s="6">
        <f>AVERAGEIFS(Data!K$2:K$811,Data!$C$2:$C$811,$A83,Data!$D$2:$D$811,$C83)</f>
        <v>6.3166997692169519E-2</v>
      </c>
      <c r="G83" s="13">
        <f>F83</f>
        <v>6.3166997692169519E-2</v>
      </c>
      <c r="H83" s="2">
        <f>(G83*D83)/E83</f>
        <v>4.759957117670284E-2</v>
      </c>
      <c r="I83" s="6">
        <f>F83*SQRT(1-$J$1)</f>
        <v>5.4704224682211811E-2</v>
      </c>
      <c r="J83" s="6">
        <f t="shared" si="4"/>
        <v>5.4704224682211811E-2</v>
      </c>
      <c r="K83" s="2">
        <f t="shared" si="6"/>
        <v>4.1222437848270205E-2</v>
      </c>
      <c r="L83">
        <v>2</v>
      </c>
      <c r="M83" s="3">
        <f>A83/2*L83</f>
        <v>14000</v>
      </c>
      <c r="N83">
        <v>2.8015850000000002</v>
      </c>
      <c r="O83" s="2">
        <f>AVERAGEIFS(Data!H$2:H$811,Data!$C$2:$C$811,$A83,Data!$D$2:$D$811,$C83)</f>
        <v>2.2546878888975171E-2</v>
      </c>
      <c r="P83">
        <f t="shared" si="7"/>
        <v>6.3166997692169505E-2</v>
      </c>
      <c r="Q83" s="13">
        <f>P83</f>
        <v>6.3166997692169505E-2</v>
      </c>
    </row>
  </sheetData>
  <autoFilter ref="A2:Q83"/>
  <sortState xmlns:xlrd2="http://schemas.microsoft.com/office/spreadsheetml/2017/richdata2" ref="A3:A29">
    <sortCondition ref="A3:A29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3300"/>
  </sheetPr>
  <dimension ref="A1:K811"/>
  <sheetViews>
    <sheetView workbookViewId="0">
      <pane ySplit="1" topLeftCell="A2" activePane="bottomLeft" state="frozen"/>
      <selection pane="bottomLeft" activeCell="K13" sqref="K13"/>
    </sheetView>
  </sheetViews>
  <sheetFormatPr defaultRowHeight="14.5" x14ac:dyDescent="0.35"/>
  <sheetData>
    <row r="1" spans="1:11" x14ac:dyDescent="0.35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17</v>
      </c>
    </row>
    <row r="2" spans="1:11" x14ac:dyDescent="0.35">
      <c r="A2">
        <v>1</v>
      </c>
      <c r="B2">
        <v>1</v>
      </c>
      <c r="C2">
        <v>1500</v>
      </c>
      <c r="D2" t="s">
        <v>9</v>
      </c>
      <c r="E2">
        <v>375.30299089726901</v>
      </c>
      <c r="F2">
        <v>459.28955328209202</v>
      </c>
      <c r="G2">
        <v>-13.233223455408799</v>
      </c>
      <c r="H2">
        <v>27.124821667815301</v>
      </c>
      <c r="I2">
        <v>-0.48786397999108599</v>
      </c>
      <c r="J2">
        <v>0.625717583903594</v>
      </c>
      <c r="K2">
        <f>H2*2.801585</f>
        <v>75.992493512226332</v>
      </c>
    </row>
    <row r="3" spans="1:11" x14ac:dyDescent="0.35">
      <c r="A3">
        <v>2</v>
      </c>
      <c r="B3">
        <v>2</v>
      </c>
      <c r="C3">
        <v>2000</v>
      </c>
      <c r="D3" t="s">
        <v>9</v>
      </c>
      <c r="E3">
        <v>383.67992240543202</v>
      </c>
      <c r="F3">
        <v>550.93359278996604</v>
      </c>
      <c r="G3">
        <v>-23.2299740050194</v>
      </c>
      <c r="H3">
        <v>22.911223953315801</v>
      </c>
      <c r="I3">
        <v>-1.01391239736267</v>
      </c>
      <c r="J3">
        <v>0.31074731912152498</v>
      </c>
      <c r="K3" s="2">
        <f t="shared" ref="K3:K66" si="0">H3*2.801585</f>
        <v>64.187741359250253</v>
      </c>
    </row>
    <row r="4" spans="1:11" x14ac:dyDescent="0.35">
      <c r="A4">
        <v>3</v>
      </c>
      <c r="B4">
        <v>3</v>
      </c>
      <c r="C4">
        <v>2500</v>
      </c>
      <c r="D4" t="s">
        <v>9</v>
      </c>
      <c r="E4">
        <v>368.082352941176</v>
      </c>
      <c r="F4">
        <v>494.66381901308802</v>
      </c>
      <c r="G4">
        <v>3.70540216086455</v>
      </c>
      <c r="H4">
        <v>20.507000378775899</v>
      </c>
      <c r="I4">
        <v>0.18068962268609201</v>
      </c>
      <c r="J4">
        <v>0.85662586216885395</v>
      </c>
      <c r="K4" s="2">
        <f t="shared" si="0"/>
        <v>57.452104656172885</v>
      </c>
    </row>
    <row r="5" spans="1:11" x14ac:dyDescent="0.35">
      <c r="A5">
        <v>4</v>
      </c>
      <c r="B5">
        <v>4</v>
      </c>
      <c r="C5">
        <v>3000</v>
      </c>
      <c r="D5" t="s">
        <v>9</v>
      </c>
      <c r="E5">
        <v>364.89163879598698</v>
      </c>
      <c r="F5">
        <v>472.826189402826</v>
      </c>
      <c r="G5">
        <v>3.2505538950431498</v>
      </c>
      <c r="H5">
        <v>18.243523360167799</v>
      </c>
      <c r="I5">
        <v>0.17817577399222601</v>
      </c>
      <c r="J5">
        <v>0.85859697293767101</v>
      </c>
      <c r="K5" s="2">
        <f t="shared" si="0"/>
        <v>51.110781392995705</v>
      </c>
    </row>
    <row r="6" spans="1:11" x14ac:dyDescent="0.35">
      <c r="A6">
        <v>5</v>
      </c>
      <c r="B6">
        <v>5</v>
      </c>
      <c r="C6">
        <v>3500</v>
      </c>
      <c r="D6" t="s">
        <v>9</v>
      </c>
      <c r="E6">
        <v>364.69691876750699</v>
      </c>
      <c r="F6">
        <v>486.87830142623301</v>
      </c>
      <c r="G6">
        <v>12.0640141770997</v>
      </c>
      <c r="H6">
        <v>17.153508065702599</v>
      </c>
      <c r="I6">
        <v>0.70329719908552701</v>
      </c>
      <c r="J6">
        <v>0.48191736184251799</v>
      </c>
      <c r="K6" s="2">
        <f t="shared" si="0"/>
        <v>48.05701089425142</v>
      </c>
    </row>
    <row r="7" spans="1:11" x14ac:dyDescent="0.35">
      <c r="A7">
        <v>6</v>
      </c>
      <c r="B7">
        <v>6</v>
      </c>
      <c r="C7">
        <v>4000</v>
      </c>
      <c r="D7" t="s">
        <v>9</v>
      </c>
      <c r="E7">
        <v>348.39254170755601</v>
      </c>
      <c r="F7">
        <v>449.128081248596</v>
      </c>
      <c r="G7">
        <v>42.833757986634303</v>
      </c>
      <c r="H7">
        <v>15.7969832185928</v>
      </c>
      <c r="I7">
        <v>2.7115150654980602</v>
      </c>
      <c r="J7">
        <v>6.72628760043208E-3</v>
      </c>
      <c r="K7" s="2">
        <f t="shared" si="0"/>
        <v>44.256591230461311</v>
      </c>
    </row>
    <row r="8" spans="1:11" x14ac:dyDescent="0.35">
      <c r="A8">
        <v>7</v>
      </c>
      <c r="B8">
        <v>7</v>
      </c>
      <c r="C8">
        <v>4500</v>
      </c>
      <c r="D8" t="s">
        <v>9</v>
      </c>
      <c r="E8">
        <v>363.19535091640603</v>
      </c>
      <c r="F8">
        <v>478.85273207152699</v>
      </c>
      <c r="G8">
        <v>7.5222805462547599</v>
      </c>
      <c r="H8">
        <v>14.7450555973339</v>
      </c>
      <c r="I8">
        <v>0.51015613312539099</v>
      </c>
      <c r="J8">
        <v>0.60996711372783896</v>
      </c>
      <c r="K8" s="2">
        <f t="shared" si="0"/>
        <v>41.309526585656698</v>
      </c>
    </row>
    <row r="9" spans="1:11" x14ac:dyDescent="0.35">
      <c r="A9">
        <v>8</v>
      </c>
      <c r="B9">
        <v>8</v>
      </c>
      <c r="C9">
        <v>5000</v>
      </c>
      <c r="D9" t="s">
        <v>9</v>
      </c>
      <c r="E9">
        <v>367.61243439644699</v>
      </c>
      <c r="F9">
        <v>482.76455658939801</v>
      </c>
      <c r="G9">
        <v>-8.3318160849138501</v>
      </c>
      <c r="H9">
        <v>13.7187170330083</v>
      </c>
      <c r="I9">
        <v>-0.60733201689828797</v>
      </c>
      <c r="J9">
        <v>0.54365818503851704</v>
      </c>
      <c r="K9" s="2">
        <f t="shared" si="0"/>
        <v>38.434151858920558</v>
      </c>
    </row>
    <row r="10" spans="1:11" x14ac:dyDescent="0.35">
      <c r="A10">
        <v>9</v>
      </c>
      <c r="B10">
        <v>9</v>
      </c>
      <c r="C10">
        <v>5500</v>
      </c>
      <c r="D10" t="s">
        <v>9</v>
      </c>
      <c r="E10">
        <v>359.50300459526301</v>
      </c>
      <c r="F10">
        <v>476.15986850678701</v>
      </c>
      <c r="G10">
        <v>17.523202817689601</v>
      </c>
      <c r="H10">
        <v>13.304086719266</v>
      </c>
      <c r="I10">
        <v>1.3171293293145601</v>
      </c>
      <c r="J10">
        <v>0.187850168269379</v>
      </c>
      <c r="K10" s="2">
        <f t="shared" si="0"/>
        <v>37.272529791394838</v>
      </c>
    </row>
    <row r="11" spans="1:11" x14ac:dyDescent="0.35">
      <c r="A11">
        <v>10</v>
      </c>
      <c r="B11">
        <v>10</v>
      </c>
      <c r="C11">
        <v>6000</v>
      </c>
      <c r="D11" t="s">
        <v>9</v>
      </c>
      <c r="E11">
        <v>374.18934127772297</v>
      </c>
      <c r="F11">
        <v>500.66986111945499</v>
      </c>
      <c r="G11">
        <v>-3.4978340605352298</v>
      </c>
      <c r="H11">
        <v>12.9610173170525</v>
      </c>
      <c r="I11">
        <v>-0.26987341926726799</v>
      </c>
      <c r="J11">
        <v>0.78726692114653296</v>
      </c>
      <c r="K11" s="2">
        <f t="shared" si="0"/>
        <v>36.311391700194534</v>
      </c>
    </row>
    <row r="12" spans="1:11" x14ac:dyDescent="0.35">
      <c r="A12">
        <v>11</v>
      </c>
      <c r="B12">
        <v>11</v>
      </c>
      <c r="C12">
        <v>6500</v>
      </c>
      <c r="D12" t="s">
        <v>9</v>
      </c>
      <c r="E12">
        <v>371.60036889025503</v>
      </c>
      <c r="F12">
        <v>495.16047459022798</v>
      </c>
      <c r="G12">
        <v>2.7710508818429398</v>
      </c>
      <c r="H12">
        <v>12.402653826229701</v>
      </c>
      <c r="I12">
        <v>0.22342402849159501</v>
      </c>
      <c r="J12">
        <v>0.82321252814718304</v>
      </c>
      <c r="K12" s="2">
        <f t="shared" si="0"/>
        <v>34.747088919757736</v>
      </c>
    </row>
    <row r="13" spans="1:11" x14ac:dyDescent="0.35">
      <c r="A13">
        <v>12</v>
      </c>
      <c r="B13">
        <v>12</v>
      </c>
      <c r="C13">
        <v>7000</v>
      </c>
      <c r="D13" t="s">
        <v>9</v>
      </c>
      <c r="E13">
        <v>374.11410550458697</v>
      </c>
      <c r="F13">
        <v>517.87293518417698</v>
      </c>
      <c r="G13">
        <v>-5.0386499237223701</v>
      </c>
      <c r="H13">
        <v>11.8458941433056</v>
      </c>
      <c r="I13">
        <v>-0.42534990290875202</v>
      </c>
      <c r="J13">
        <v>0.67059469928494597</v>
      </c>
      <c r="K13" s="2">
        <f t="shared" si="0"/>
        <v>33.187279343472824</v>
      </c>
    </row>
    <row r="14" spans="1:11" x14ac:dyDescent="0.35">
      <c r="A14">
        <v>13</v>
      </c>
      <c r="B14">
        <v>13</v>
      </c>
      <c r="C14">
        <v>7500</v>
      </c>
      <c r="D14" t="s">
        <v>9</v>
      </c>
      <c r="E14">
        <v>372.20945945945903</v>
      </c>
      <c r="F14">
        <v>497.11479336284998</v>
      </c>
      <c r="G14">
        <v>-4.7591963015645904</v>
      </c>
      <c r="H14">
        <v>11.3764704851323</v>
      </c>
      <c r="I14">
        <v>-0.41833680382543098</v>
      </c>
      <c r="J14">
        <v>0.675712865485249</v>
      </c>
      <c r="K14" s="2">
        <f t="shared" si="0"/>
        <v>31.872149064089378</v>
      </c>
    </row>
    <row r="15" spans="1:11" x14ac:dyDescent="0.35">
      <c r="A15">
        <v>14</v>
      </c>
      <c r="B15">
        <v>14</v>
      </c>
      <c r="C15">
        <v>8000</v>
      </c>
      <c r="D15" t="s">
        <v>9</v>
      </c>
      <c r="E15">
        <v>374.40719315895399</v>
      </c>
      <c r="F15">
        <v>498.84581294766298</v>
      </c>
      <c r="G15">
        <v>-6.9444695009006603</v>
      </c>
      <c r="H15">
        <v>11.091851084180499</v>
      </c>
      <c r="I15">
        <v>-0.62608751669999196</v>
      </c>
      <c r="J15">
        <v>0.53127540622237601</v>
      </c>
      <c r="K15" s="2">
        <f t="shared" si="0"/>
        <v>31.074763619673828</v>
      </c>
    </row>
    <row r="16" spans="1:11" x14ac:dyDescent="0.35">
      <c r="A16">
        <v>15</v>
      </c>
      <c r="B16">
        <v>15</v>
      </c>
      <c r="C16">
        <v>8500</v>
      </c>
      <c r="D16" t="s">
        <v>9</v>
      </c>
      <c r="E16">
        <v>367.87236590038299</v>
      </c>
      <c r="F16">
        <v>485.82092582463702</v>
      </c>
      <c r="G16">
        <v>6.94516416437218</v>
      </c>
      <c r="H16">
        <v>10.781218036491699</v>
      </c>
      <c r="I16">
        <v>0.64419104973710295</v>
      </c>
      <c r="J16">
        <v>0.51946894036546598</v>
      </c>
      <c r="K16" s="2">
        <f t="shared" si="0"/>
        <v>30.204498732764598</v>
      </c>
    </row>
    <row r="17" spans="1:11" x14ac:dyDescent="0.35">
      <c r="A17">
        <v>16</v>
      </c>
      <c r="B17">
        <v>16</v>
      </c>
      <c r="C17">
        <v>9000</v>
      </c>
      <c r="D17" t="s">
        <v>9</v>
      </c>
      <c r="E17">
        <v>366.50098879367198</v>
      </c>
      <c r="F17">
        <v>479.39855628511498</v>
      </c>
      <c r="G17">
        <v>5.6747810422460097</v>
      </c>
      <c r="H17">
        <v>10.4091107777272</v>
      </c>
      <c r="I17">
        <v>0.54517443069090898</v>
      </c>
      <c r="J17">
        <v>0.58564706794161903</v>
      </c>
      <c r="K17" s="2">
        <f t="shared" si="0"/>
        <v>29.162008618218859</v>
      </c>
    </row>
    <row r="18" spans="1:11" x14ac:dyDescent="0.35">
      <c r="A18">
        <v>17</v>
      </c>
      <c r="B18">
        <v>17</v>
      </c>
      <c r="C18">
        <v>9500</v>
      </c>
      <c r="D18" t="s">
        <v>9</v>
      </c>
      <c r="E18">
        <v>362.83812723073697</v>
      </c>
      <c r="F18">
        <v>486.84153436984798</v>
      </c>
      <c r="G18">
        <v>5.8994704048975803</v>
      </c>
      <c r="H18">
        <v>10.01273064614</v>
      </c>
      <c r="I18">
        <v>0.58919695469605604</v>
      </c>
      <c r="J18">
        <v>0.55574317288495401</v>
      </c>
      <c r="K18" s="2">
        <f t="shared" si="0"/>
        <v>28.051515987266132</v>
      </c>
    </row>
    <row r="19" spans="1:11" x14ac:dyDescent="0.35">
      <c r="A19">
        <v>18</v>
      </c>
      <c r="B19">
        <v>18</v>
      </c>
      <c r="C19">
        <v>10000</v>
      </c>
      <c r="D19" t="s">
        <v>9</v>
      </c>
      <c r="E19">
        <v>371.86088871096899</v>
      </c>
      <c r="F19">
        <v>514.24478467174799</v>
      </c>
      <c r="G19">
        <v>-14.080113331272401</v>
      </c>
      <c r="H19">
        <v>9.7684389858684604</v>
      </c>
      <c r="I19">
        <v>-1.4413882659902399</v>
      </c>
      <c r="J19">
        <v>0.14950634221061901</v>
      </c>
      <c r="K19" s="2">
        <f t="shared" si="0"/>
        <v>27.367112136224293</v>
      </c>
    </row>
    <row r="20" spans="1:11" x14ac:dyDescent="0.35">
      <c r="A20">
        <v>19</v>
      </c>
      <c r="B20">
        <v>19</v>
      </c>
      <c r="C20">
        <v>10500</v>
      </c>
      <c r="D20" t="s">
        <v>9</v>
      </c>
      <c r="E20">
        <v>367.81743609309399</v>
      </c>
      <c r="F20">
        <v>491.21752570805501</v>
      </c>
      <c r="G20">
        <v>-5.77977918932927</v>
      </c>
      <c r="H20">
        <v>9.4917791930007205</v>
      </c>
      <c r="I20">
        <v>-0.60892474127414398</v>
      </c>
      <c r="J20">
        <v>0.54258750006369205</v>
      </c>
      <c r="K20" s="2">
        <f t="shared" si="0"/>
        <v>26.592026210422926</v>
      </c>
    </row>
    <row r="21" spans="1:11" x14ac:dyDescent="0.35">
      <c r="A21">
        <v>20</v>
      </c>
      <c r="B21">
        <v>20</v>
      </c>
      <c r="C21">
        <v>11000</v>
      </c>
      <c r="D21" t="s">
        <v>9</v>
      </c>
      <c r="E21">
        <v>368.11399342345601</v>
      </c>
      <c r="F21">
        <v>493.97933812207401</v>
      </c>
      <c r="G21">
        <v>-4.6655677991348696</v>
      </c>
      <c r="H21">
        <v>9.2511079798770197</v>
      </c>
      <c r="I21">
        <v>-0.50432529911913204</v>
      </c>
      <c r="J21">
        <v>0.614042905288116</v>
      </c>
      <c r="K21" s="2">
        <f t="shared" si="0"/>
        <v>25.917765349803762</v>
      </c>
    </row>
    <row r="22" spans="1:11" x14ac:dyDescent="0.35">
      <c r="A22">
        <v>21</v>
      </c>
      <c r="B22">
        <v>21</v>
      </c>
      <c r="C22">
        <v>11500</v>
      </c>
      <c r="D22" t="s">
        <v>9</v>
      </c>
      <c r="E22">
        <v>369.19741540554298</v>
      </c>
      <c r="F22">
        <v>492.443741702154</v>
      </c>
      <c r="G22">
        <v>-4.4059934443398401</v>
      </c>
      <c r="H22">
        <v>9.0350958387989504</v>
      </c>
      <c r="I22">
        <v>-0.48765320511813698</v>
      </c>
      <c r="J22">
        <v>0.62580480033581398</v>
      </c>
      <c r="K22" s="2">
        <f t="shared" si="0"/>
        <v>25.312588975541559</v>
      </c>
    </row>
    <row r="23" spans="1:11" x14ac:dyDescent="0.35">
      <c r="A23">
        <v>22</v>
      </c>
      <c r="B23">
        <v>22</v>
      </c>
      <c r="C23">
        <v>12000</v>
      </c>
      <c r="D23" t="s">
        <v>9</v>
      </c>
      <c r="E23">
        <v>362.43682550224099</v>
      </c>
      <c r="F23">
        <v>483.216768458194</v>
      </c>
      <c r="G23">
        <v>12.152266015242899</v>
      </c>
      <c r="H23">
        <v>8.9119357557150192</v>
      </c>
      <c r="I23">
        <v>1.3635944365341599</v>
      </c>
      <c r="J23">
        <v>0.17272082753373899</v>
      </c>
      <c r="K23" s="2">
        <f t="shared" si="0"/>
        <v>24.967545534174864</v>
      </c>
    </row>
    <row r="24" spans="1:11" x14ac:dyDescent="0.35">
      <c r="A24">
        <v>23</v>
      </c>
      <c r="B24">
        <v>23</v>
      </c>
      <c r="C24">
        <v>12500</v>
      </c>
      <c r="D24" t="s">
        <v>9</v>
      </c>
      <c r="E24">
        <v>364.17092369477899</v>
      </c>
      <c r="F24">
        <v>501.477021514321</v>
      </c>
      <c r="G24">
        <v>10.3736181378914</v>
      </c>
      <c r="H24">
        <v>8.8389450586335094</v>
      </c>
      <c r="I24">
        <v>1.1736262720355899</v>
      </c>
      <c r="J24">
        <v>0.24056711803945499</v>
      </c>
      <c r="K24" s="2">
        <f t="shared" si="0"/>
        <v>24.763055892091764</v>
      </c>
    </row>
    <row r="25" spans="1:11" x14ac:dyDescent="0.35">
      <c r="A25">
        <v>24</v>
      </c>
      <c r="B25">
        <v>24</v>
      </c>
      <c r="C25">
        <v>13000</v>
      </c>
      <c r="D25" t="s">
        <v>9</v>
      </c>
      <c r="E25">
        <v>369.94551331383701</v>
      </c>
      <c r="F25">
        <v>490.289933310506</v>
      </c>
      <c r="G25">
        <v>1.1372177333714</v>
      </c>
      <c r="H25">
        <v>8.6740931621574493</v>
      </c>
      <c r="I25">
        <v>0.13110508638905899</v>
      </c>
      <c r="J25">
        <v>0.89569420656681897</v>
      </c>
      <c r="K25" s="2">
        <f t="shared" si="0"/>
        <v>24.301209291702879</v>
      </c>
    </row>
    <row r="26" spans="1:11" x14ac:dyDescent="0.35">
      <c r="A26">
        <v>25</v>
      </c>
      <c r="B26">
        <v>25</v>
      </c>
      <c r="C26">
        <v>13500</v>
      </c>
      <c r="D26" t="s">
        <v>9</v>
      </c>
      <c r="E26">
        <v>371.80514869063501</v>
      </c>
      <c r="F26">
        <v>495.41367595743901</v>
      </c>
      <c r="G26">
        <v>-2.47938100038126</v>
      </c>
      <c r="H26">
        <v>8.4827340748840605</v>
      </c>
      <c r="I26">
        <v>-0.29228559783835401</v>
      </c>
      <c r="J26">
        <v>0.77007276179348205</v>
      </c>
      <c r="K26" s="2">
        <f t="shared" si="0"/>
        <v>23.765100543184062</v>
      </c>
    </row>
    <row r="27" spans="1:11" x14ac:dyDescent="0.35">
      <c r="A27">
        <v>26</v>
      </c>
      <c r="B27">
        <v>26</v>
      </c>
      <c r="C27">
        <v>14000</v>
      </c>
      <c r="D27" t="s">
        <v>9</v>
      </c>
      <c r="E27">
        <v>370.66032880629001</v>
      </c>
      <c r="F27">
        <v>490.50876328598201</v>
      </c>
      <c r="G27">
        <v>1.64930716801447</v>
      </c>
      <c r="H27">
        <v>8.3803525890654793</v>
      </c>
      <c r="I27">
        <v>0.19680641721047101</v>
      </c>
      <c r="J27">
        <v>0.84398188633756299</v>
      </c>
      <c r="K27" s="2">
        <f t="shared" si="0"/>
        <v>23.478270108237012</v>
      </c>
    </row>
    <row r="28" spans="1:11" x14ac:dyDescent="0.35">
      <c r="A28">
        <v>27</v>
      </c>
      <c r="B28">
        <v>27</v>
      </c>
      <c r="C28">
        <v>1000</v>
      </c>
      <c r="D28" t="s">
        <v>9</v>
      </c>
      <c r="E28">
        <v>354.80578512396698</v>
      </c>
      <c r="F28">
        <v>492.689100949276</v>
      </c>
      <c r="G28">
        <v>25.566307899289399</v>
      </c>
      <c r="H28">
        <v>35.134867086512301</v>
      </c>
      <c r="I28">
        <v>0.72766200698405104</v>
      </c>
      <c r="J28">
        <v>0.46699118561758401</v>
      </c>
      <c r="K28" s="2">
        <f t="shared" si="0"/>
        <v>98.433316606566578</v>
      </c>
    </row>
    <row r="29" spans="1:11" x14ac:dyDescent="0.35">
      <c r="A29">
        <v>28</v>
      </c>
      <c r="B29">
        <v>28</v>
      </c>
      <c r="C29">
        <v>1500</v>
      </c>
      <c r="D29" t="s">
        <v>9</v>
      </c>
      <c r="E29">
        <v>354.91087811271302</v>
      </c>
      <c r="F29">
        <v>441.83939365978699</v>
      </c>
      <c r="G29">
        <v>28.378131385252001</v>
      </c>
      <c r="H29">
        <v>27.089033602148302</v>
      </c>
      <c r="I29">
        <v>1.0475874408085699</v>
      </c>
      <c r="J29">
        <v>0.29499771881282599</v>
      </c>
      <c r="K29" s="2">
        <f t="shared" si="0"/>
        <v>75.892230204274654</v>
      </c>
    </row>
    <row r="30" spans="1:11" x14ac:dyDescent="0.35">
      <c r="A30">
        <v>29</v>
      </c>
      <c r="B30">
        <v>29</v>
      </c>
      <c r="C30">
        <v>2000</v>
      </c>
      <c r="D30" t="s">
        <v>9</v>
      </c>
      <c r="E30">
        <v>378.74705882352902</v>
      </c>
      <c r="F30">
        <v>537.44162313126697</v>
      </c>
      <c r="G30">
        <v>-12.902160864345699</v>
      </c>
      <c r="H30">
        <v>22.974772001393902</v>
      </c>
      <c r="I30">
        <v>-0.56157949526388695</v>
      </c>
      <c r="J30">
        <v>0.57446553752432095</v>
      </c>
      <c r="K30" s="2">
        <f t="shared" si="0"/>
        <v>64.365776617525142</v>
      </c>
    </row>
    <row r="31" spans="1:11" x14ac:dyDescent="0.35">
      <c r="A31">
        <v>30</v>
      </c>
      <c r="B31">
        <v>30</v>
      </c>
      <c r="C31">
        <v>2500</v>
      </c>
      <c r="D31" t="s">
        <v>9</v>
      </c>
      <c r="E31">
        <v>378.36790923824998</v>
      </c>
      <c r="F31">
        <v>505.89071309950799</v>
      </c>
      <c r="G31">
        <v>-16.725729143462601</v>
      </c>
      <c r="H31">
        <v>20.468861501048099</v>
      </c>
      <c r="I31">
        <v>-0.81713040769787004</v>
      </c>
      <c r="J31">
        <v>0.413931831260894</v>
      </c>
      <c r="K31" s="2">
        <f t="shared" si="0"/>
        <v>57.345255348413843</v>
      </c>
    </row>
    <row r="32" spans="1:11" x14ac:dyDescent="0.35">
      <c r="A32">
        <v>31</v>
      </c>
      <c r="B32">
        <v>31</v>
      </c>
      <c r="C32">
        <v>3000</v>
      </c>
      <c r="D32" t="s">
        <v>9</v>
      </c>
      <c r="E32">
        <v>358.82059800664501</v>
      </c>
      <c r="F32">
        <v>442.68492166324501</v>
      </c>
      <c r="G32">
        <v>15.454987277635899</v>
      </c>
      <c r="H32">
        <v>18.260881012500501</v>
      </c>
      <c r="I32">
        <v>0.84634401084241895</v>
      </c>
      <c r="J32">
        <v>0.39742841095396703</v>
      </c>
      <c r="K32" s="2">
        <f t="shared" si="0"/>
        <v>51.159410331406221</v>
      </c>
    </row>
    <row r="33" spans="1:11" x14ac:dyDescent="0.35">
      <c r="A33">
        <v>32</v>
      </c>
      <c r="B33">
        <v>32</v>
      </c>
      <c r="C33">
        <v>3500</v>
      </c>
      <c r="D33" t="s">
        <v>9</v>
      </c>
      <c r="E33">
        <v>365.18880723572602</v>
      </c>
      <c r="F33">
        <v>532.68201854737003</v>
      </c>
      <c r="G33">
        <v>10.9579287550303</v>
      </c>
      <c r="H33">
        <v>17.1048500246016</v>
      </c>
      <c r="I33">
        <v>0.64063284619682304</v>
      </c>
      <c r="J33">
        <v>0.52180321754835102</v>
      </c>
      <c r="K33" s="2">
        <f t="shared" si="0"/>
        <v>47.920691256173477</v>
      </c>
    </row>
    <row r="34" spans="1:11" x14ac:dyDescent="0.35">
      <c r="A34">
        <v>33</v>
      </c>
      <c r="B34">
        <v>33</v>
      </c>
      <c r="C34">
        <v>4000</v>
      </c>
      <c r="D34" t="s">
        <v>9</v>
      </c>
      <c r="E34">
        <v>382.07010515773698</v>
      </c>
      <c r="F34">
        <v>515.08506417806097</v>
      </c>
      <c r="G34">
        <v>-25.2972644188449</v>
      </c>
      <c r="H34">
        <v>15.748933274951501</v>
      </c>
      <c r="I34">
        <v>-1.6062843100033899</v>
      </c>
      <c r="J34">
        <v>0.10829042840334201</v>
      </c>
      <c r="K34" s="2">
        <f t="shared" si="0"/>
        <v>44.121975229105004</v>
      </c>
    </row>
    <row r="35" spans="1:11" x14ac:dyDescent="0.35">
      <c r="A35">
        <v>34</v>
      </c>
      <c r="B35">
        <v>34</v>
      </c>
      <c r="C35">
        <v>4500</v>
      </c>
      <c r="D35" t="s">
        <v>9</v>
      </c>
      <c r="E35">
        <v>363.42280701754402</v>
      </c>
      <c r="F35">
        <v>480.070933407898</v>
      </c>
      <c r="G35">
        <v>7.2069227121860999</v>
      </c>
      <c r="H35">
        <v>14.763037378943499</v>
      </c>
      <c r="I35">
        <v>0.48817343797187102</v>
      </c>
      <c r="J35">
        <v>0.62545079304539997</v>
      </c>
      <c r="K35" s="2">
        <f t="shared" si="0"/>
        <v>41.359904075287425</v>
      </c>
    </row>
    <row r="36" spans="1:11" x14ac:dyDescent="0.35">
      <c r="A36">
        <v>35</v>
      </c>
      <c r="B36">
        <v>35</v>
      </c>
      <c r="C36">
        <v>5000</v>
      </c>
      <c r="D36" t="s">
        <v>9</v>
      </c>
      <c r="E36">
        <v>352.03452477660397</v>
      </c>
      <c r="F36">
        <v>454.92994225816898</v>
      </c>
      <c r="G36">
        <v>22.4067675795818</v>
      </c>
      <c r="H36">
        <v>13.693101241800299</v>
      </c>
      <c r="I36">
        <v>1.63635448127571</v>
      </c>
      <c r="J36">
        <v>0.101828381788631</v>
      </c>
      <c r="K36" s="2">
        <f t="shared" si="0"/>
        <v>38.362387042509091</v>
      </c>
    </row>
    <row r="37" spans="1:11" x14ac:dyDescent="0.35">
      <c r="A37">
        <v>36</v>
      </c>
      <c r="B37">
        <v>36</v>
      </c>
      <c r="C37">
        <v>5500</v>
      </c>
      <c r="D37" t="s">
        <v>9</v>
      </c>
      <c r="E37">
        <v>382.94927007299299</v>
      </c>
      <c r="F37">
        <v>523.600164038495</v>
      </c>
      <c r="G37">
        <v>-29.7644874642967</v>
      </c>
      <c r="H37">
        <v>13.2760747212143</v>
      </c>
      <c r="I37">
        <v>-2.24196444275317</v>
      </c>
      <c r="J37">
        <v>2.50033885739652E-2</v>
      </c>
      <c r="K37" s="2">
        <f t="shared" si="0"/>
        <v>37.194051797833168</v>
      </c>
    </row>
    <row r="38" spans="1:11" x14ac:dyDescent="0.35">
      <c r="A38">
        <v>37</v>
      </c>
      <c r="B38">
        <v>37</v>
      </c>
      <c r="C38">
        <v>6000</v>
      </c>
      <c r="D38" t="s">
        <v>9</v>
      </c>
      <c r="E38">
        <v>378.63126649076497</v>
      </c>
      <c r="F38">
        <v>519.06055717150798</v>
      </c>
      <c r="G38">
        <v>-12.490430911250501</v>
      </c>
      <c r="H38">
        <v>12.9503099815099</v>
      </c>
      <c r="I38">
        <v>-0.96448895270337698</v>
      </c>
      <c r="J38">
        <v>0.33483972790787703</v>
      </c>
      <c r="K38" s="2">
        <f t="shared" si="0"/>
        <v>36.281394189548415</v>
      </c>
    </row>
    <row r="39" spans="1:11" x14ac:dyDescent="0.35">
      <c r="A39">
        <v>38</v>
      </c>
      <c r="B39">
        <v>38</v>
      </c>
      <c r="C39">
        <v>6500</v>
      </c>
      <c r="D39" t="s">
        <v>9</v>
      </c>
      <c r="E39">
        <v>380.90049443757698</v>
      </c>
      <c r="F39">
        <v>517.79179513535405</v>
      </c>
      <c r="G39">
        <v>-15.763852280715</v>
      </c>
      <c r="H39">
        <v>12.4049478471476</v>
      </c>
      <c r="I39">
        <v>-1.2707713466396999</v>
      </c>
      <c r="J39">
        <v>0.203855497223184</v>
      </c>
      <c r="K39" s="2">
        <f t="shared" si="0"/>
        <v>34.753515814351012</v>
      </c>
    </row>
    <row r="40" spans="1:11" x14ac:dyDescent="0.35">
      <c r="A40">
        <v>39</v>
      </c>
      <c r="B40">
        <v>39</v>
      </c>
      <c r="C40">
        <v>7000</v>
      </c>
      <c r="D40" t="s">
        <v>9</v>
      </c>
      <c r="E40">
        <v>363.47740274599499</v>
      </c>
      <c r="F40">
        <v>451.56851301865203</v>
      </c>
      <c r="G40">
        <v>16.198967117019102</v>
      </c>
      <c r="H40">
        <v>11.838351794624501</v>
      </c>
      <c r="I40">
        <v>1.3683464892785699</v>
      </c>
      <c r="J40">
        <v>0.171247573941578</v>
      </c>
      <c r="K40" s="2">
        <f t="shared" si="0"/>
        <v>33.166148812543085</v>
      </c>
    </row>
    <row r="41" spans="1:11" x14ac:dyDescent="0.35">
      <c r="A41">
        <v>40</v>
      </c>
      <c r="B41">
        <v>40</v>
      </c>
      <c r="C41">
        <v>7500</v>
      </c>
      <c r="D41" t="s">
        <v>9</v>
      </c>
      <c r="E41">
        <v>372.29388083735898</v>
      </c>
      <c r="F41">
        <v>518.06005487443804</v>
      </c>
      <c r="G41">
        <v>-4.9597525914663096</v>
      </c>
      <c r="H41">
        <v>11.3805287069919</v>
      </c>
      <c r="I41">
        <v>-0.43581038448760001</v>
      </c>
      <c r="J41">
        <v>0.66298685477590302</v>
      </c>
      <c r="K41" s="2">
        <f t="shared" si="0"/>
        <v>31.883518517577905</v>
      </c>
    </row>
    <row r="42" spans="1:11" x14ac:dyDescent="0.35">
      <c r="A42">
        <v>41</v>
      </c>
      <c r="B42">
        <v>41</v>
      </c>
      <c r="C42">
        <v>8000</v>
      </c>
      <c r="D42" t="s">
        <v>9</v>
      </c>
      <c r="E42">
        <v>375.08209892041202</v>
      </c>
      <c r="F42">
        <v>515.94930917852901</v>
      </c>
      <c r="G42">
        <v>-8.3006699933513506</v>
      </c>
      <c r="H42">
        <v>11.094722375225301</v>
      </c>
      <c r="I42">
        <v>-0.74816383074955595</v>
      </c>
      <c r="J42">
        <v>0.45438334294656202</v>
      </c>
      <c r="K42" s="2">
        <f t="shared" si="0"/>
        <v>31.082807785595577</v>
      </c>
    </row>
    <row r="43" spans="1:11" x14ac:dyDescent="0.35">
      <c r="A43">
        <v>42</v>
      </c>
      <c r="B43">
        <v>42</v>
      </c>
      <c r="C43">
        <v>8500</v>
      </c>
      <c r="D43" t="s">
        <v>9</v>
      </c>
      <c r="E43">
        <v>366.50498261877198</v>
      </c>
      <c r="F43">
        <v>480.28677944119801</v>
      </c>
      <c r="G43">
        <v>9.95308189735775</v>
      </c>
      <c r="H43">
        <v>10.800179446196699</v>
      </c>
      <c r="I43">
        <v>0.92156634497982504</v>
      </c>
      <c r="J43">
        <v>0.35678098152523402</v>
      </c>
      <c r="K43" s="2">
        <f t="shared" si="0"/>
        <v>30.257620733772981</v>
      </c>
    </row>
    <row r="44" spans="1:11" x14ac:dyDescent="0.35">
      <c r="A44">
        <v>43</v>
      </c>
      <c r="B44">
        <v>43</v>
      </c>
      <c r="C44">
        <v>9000</v>
      </c>
      <c r="D44" t="s">
        <v>9</v>
      </c>
      <c r="E44">
        <v>373.70447960775601</v>
      </c>
      <c r="F44">
        <v>513.78186408761997</v>
      </c>
      <c r="G44">
        <v>-8.7711758187023694</v>
      </c>
      <c r="H44">
        <v>10.404135898625</v>
      </c>
      <c r="I44">
        <v>-0.84304702516059304</v>
      </c>
      <c r="J44">
        <v>0.39922455342799501</v>
      </c>
      <c r="K44" s="2">
        <f t="shared" si="0"/>
        <v>29.148071071549325</v>
      </c>
    </row>
    <row r="45" spans="1:11" x14ac:dyDescent="0.35">
      <c r="A45">
        <v>44</v>
      </c>
      <c r="B45">
        <v>44</v>
      </c>
      <c r="C45">
        <v>9500</v>
      </c>
      <c r="D45" t="s">
        <v>9</v>
      </c>
      <c r="E45">
        <v>363.83593420497698</v>
      </c>
      <c r="F45">
        <v>470.97126826582098</v>
      </c>
      <c r="G45">
        <v>3.8811738236073201</v>
      </c>
      <c r="H45">
        <v>10.011543201837901</v>
      </c>
      <c r="I45">
        <v>0.38766988718530498</v>
      </c>
      <c r="J45">
        <v>0.69826903003687701</v>
      </c>
      <c r="K45" s="2">
        <f t="shared" si="0"/>
        <v>28.048189261121038</v>
      </c>
    </row>
    <row r="46" spans="1:11" x14ac:dyDescent="0.35">
      <c r="A46">
        <v>45</v>
      </c>
      <c r="B46">
        <v>45</v>
      </c>
      <c r="C46">
        <v>10000</v>
      </c>
      <c r="D46" t="s">
        <v>9</v>
      </c>
      <c r="E46">
        <v>356.998386446148</v>
      </c>
      <c r="F46">
        <v>465.50182248770699</v>
      </c>
      <c r="G46">
        <v>15.503398559800999</v>
      </c>
      <c r="H46">
        <v>9.76028367251463</v>
      </c>
      <c r="I46">
        <v>1.5884168001652701</v>
      </c>
      <c r="J46">
        <v>0.112223741518318</v>
      </c>
      <c r="K46" s="2">
        <f t="shared" si="0"/>
        <v>27.344264332661901</v>
      </c>
    </row>
    <row r="47" spans="1:11" x14ac:dyDescent="0.35">
      <c r="A47">
        <v>46</v>
      </c>
      <c r="B47">
        <v>46</v>
      </c>
      <c r="C47">
        <v>10500</v>
      </c>
      <c r="D47" t="s">
        <v>9</v>
      </c>
      <c r="E47">
        <v>361.15799432355698</v>
      </c>
      <c r="F47">
        <v>483.74171492546998</v>
      </c>
      <c r="G47">
        <v>7.5808359736624</v>
      </c>
      <c r="H47">
        <v>9.4922148014189904</v>
      </c>
      <c r="I47">
        <v>0.79863721294308998</v>
      </c>
      <c r="J47">
        <v>0.42451887002289901</v>
      </c>
      <c r="K47" s="2">
        <f t="shared" si="0"/>
        <v>26.593246604433425</v>
      </c>
    </row>
    <row r="48" spans="1:11" x14ac:dyDescent="0.35">
      <c r="A48">
        <v>47</v>
      </c>
      <c r="B48">
        <v>47</v>
      </c>
      <c r="C48">
        <v>11000</v>
      </c>
      <c r="D48" t="s">
        <v>9</v>
      </c>
      <c r="E48">
        <v>366.84850705257401</v>
      </c>
      <c r="F48">
        <v>498.32277499163501</v>
      </c>
      <c r="G48">
        <v>-2.1406925786523399</v>
      </c>
      <c r="H48">
        <v>9.2535303647909899</v>
      </c>
      <c r="I48">
        <v>-0.231337932039162</v>
      </c>
      <c r="J48">
        <v>0.81705658385486801</v>
      </c>
      <c r="K48" s="2">
        <f t="shared" si="0"/>
        <v>25.924551867042968</v>
      </c>
    </row>
    <row r="49" spans="1:11" x14ac:dyDescent="0.35">
      <c r="A49">
        <v>48</v>
      </c>
      <c r="B49">
        <v>48</v>
      </c>
      <c r="C49">
        <v>11500</v>
      </c>
      <c r="D49" t="s">
        <v>9</v>
      </c>
      <c r="E49">
        <v>361.54670138888901</v>
      </c>
      <c r="F49">
        <v>462.14238746172401</v>
      </c>
      <c r="G49">
        <v>11.014971084980001</v>
      </c>
      <c r="H49">
        <v>9.0405355029477299</v>
      </c>
      <c r="I49">
        <v>1.21839807845326</v>
      </c>
      <c r="J49">
        <v>0.223097733869763</v>
      </c>
      <c r="K49" s="2">
        <f t="shared" si="0"/>
        <v>25.327828657025819</v>
      </c>
    </row>
    <row r="50" spans="1:11" x14ac:dyDescent="0.35">
      <c r="A50">
        <v>49</v>
      </c>
      <c r="B50">
        <v>49</v>
      </c>
      <c r="C50">
        <v>12000</v>
      </c>
      <c r="D50" t="s">
        <v>9</v>
      </c>
      <c r="E50">
        <v>369.161186983645</v>
      </c>
      <c r="F50">
        <v>476.63447516755798</v>
      </c>
      <c r="G50">
        <v>-1.3277712644155499</v>
      </c>
      <c r="H50">
        <v>8.9077672018031606</v>
      </c>
      <c r="I50">
        <v>-0.14905769698907001</v>
      </c>
      <c r="J50">
        <v>0.88151061100148798</v>
      </c>
      <c r="K50" s="2">
        <f t="shared" si="0"/>
        <v>24.95586697606371</v>
      </c>
    </row>
    <row r="51" spans="1:11" x14ac:dyDescent="0.35">
      <c r="A51">
        <v>50</v>
      </c>
      <c r="B51">
        <v>50</v>
      </c>
      <c r="C51">
        <v>12500</v>
      </c>
      <c r="D51" t="s">
        <v>9</v>
      </c>
      <c r="E51">
        <v>366.063132137031</v>
      </c>
      <c r="F51">
        <v>483.443682538416</v>
      </c>
      <c r="G51">
        <v>6.50578466045841</v>
      </c>
      <c r="H51">
        <v>8.8326661059570206</v>
      </c>
      <c r="I51">
        <v>0.73655955998050404</v>
      </c>
      <c r="J51">
        <v>0.46140406012964202</v>
      </c>
      <c r="K51" s="2">
        <f t="shared" si="0"/>
        <v>24.745464872457603</v>
      </c>
    </row>
    <row r="52" spans="1:11" x14ac:dyDescent="0.35">
      <c r="A52">
        <v>51</v>
      </c>
      <c r="B52">
        <v>51</v>
      </c>
      <c r="C52">
        <v>13000</v>
      </c>
      <c r="D52" t="s">
        <v>9</v>
      </c>
      <c r="E52">
        <v>373.269590553596</v>
      </c>
      <c r="F52">
        <v>500.36653866471499</v>
      </c>
      <c r="G52">
        <v>-5.5282724489501298</v>
      </c>
      <c r="H52">
        <v>8.6733989156393996</v>
      </c>
      <c r="I52">
        <v>-0.63738247285984395</v>
      </c>
      <c r="J52">
        <v>0.52388696871804996</v>
      </c>
      <c r="K52" s="2">
        <f t="shared" si="0"/>
        <v>24.299264301071609</v>
      </c>
    </row>
    <row r="53" spans="1:11" x14ac:dyDescent="0.35">
      <c r="A53">
        <v>52</v>
      </c>
      <c r="B53">
        <v>52</v>
      </c>
      <c r="C53">
        <v>13500</v>
      </c>
      <c r="D53" t="s">
        <v>9</v>
      </c>
      <c r="E53">
        <v>367.33202099737503</v>
      </c>
      <c r="F53">
        <v>484.43865766064698</v>
      </c>
      <c r="G53">
        <v>6.5753864100325297</v>
      </c>
      <c r="H53">
        <v>8.4883935072744503</v>
      </c>
      <c r="I53">
        <v>0.77463260915007204</v>
      </c>
      <c r="J53">
        <v>0.438570351331528</v>
      </c>
      <c r="K53" s="2">
        <f t="shared" si="0"/>
        <v>23.780955924077492</v>
      </c>
    </row>
    <row r="54" spans="1:11" x14ac:dyDescent="0.35">
      <c r="A54">
        <v>53</v>
      </c>
      <c r="B54">
        <v>53</v>
      </c>
      <c r="C54">
        <v>14000</v>
      </c>
      <c r="D54" t="s">
        <v>9</v>
      </c>
      <c r="E54">
        <v>378.82961136890998</v>
      </c>
      <c r="F54">
        <v>505.71563331870402</v>
      </c>
      <c r="G54">
        <v>-14.4730516842254</v>
      </c>
      <c r="H54">
        <v>8.3855235218169799</v>
      </c>
      <c r="I54">
        <v>-1.72595684056818</v>
      </c>
      <c r="J54">
        <v>8.4377244637902596E-2</v>
      </c>
      <c r="K54" s="2">
        <f t="shared" si="0"/>
        <v>23.492756915869627</v>
      </c>
    </row>
    <row r="55" spans="1:11" x14ac:dyDescent="0.35">
      <c r="A55">
        <v>54</v>
      </c>
      <c r="B55">
        <v>54</v>
      </c>
      <c r="C55">
        <v>1000</v>
      </c>
      <c r="D55" t="s">
        <v>9</v>
      </c>
      <c r="E55">
        <v>384.588842975207</v>
      </c>
      <c r="F55">
        <v>653.18267664399195</v>
      </c>
      <c r="G55">
        <v>-32.152796463578703</v>
      </c>
      <c r="H55">
        <v>35.776362123217197</v>
      </c>
      <c r="I55">
        <v>-0.89871620688658704</v>
      </c>
      <c r="J55">
        <v>0.36902061648997397</v>
      </c>
      <c r="K55" s="2">
        <f t="shared" si="0"/>
        <v>100.23051947897346</v>
      </c>
    </row>
    <row r="56" spans="1:11" x14ac:dyDescent="0.35">
      <c r="A56">
        <v>55</v>
      </c>
      <c r="B56">
        <v>55</v>
      </c>
      <c r="C56">
        <v>1500</v>
      </c>
      <c r="D56" t="s">
        <v>9</v>
      </c>
      <c r="E56">
        <v>365.14809960681498</v>
      </c>
      <c r="F56">
        <v>536.84888691470201</v>
      </c>
      <c r="G56">
        <v>7.5425381136730696</v>
      </c>
      <c r="H56">
        <v>26.9362197887049</v>
      </c>
      <c r="I56">
        <v>0.28001472266111599</v>
      </c>
      <c r="J56">
        <v>0.77950487002128799</v>
      </c>
      <c r="K56" s="2">
        <f t="shared" si="0"/>
        <v>75.464109316738828</v>
      </c>
    </row>
    <row r="57" spans="1:11" x14ac:dyDescent="0.35">
      <c r="A57">
        <v>56</v>
      </c>
      <c r="B57">
        <v>56</v>
      </c>
      <c r="C57">
        <v>2000</v>
      </c>
      <c r="D57" t="s">
        <v>9</v>
      </c>
      <c r="E57">
        <v>377.41557128412501</v>
      </c>
      <c r="F57">
        <v>485.82524869279001</v>
      </c>
      <c r="G57">
        <v>-9.8725445778938994</v>
      </c>
      <c r="H57">
        <v>22.988487906629999</v>
      </c>
      <c r="I57">
        <v>-0.42945602242271003</v>
      </c>
      <c r="J57">
        <v>0.66763769707565401</v>
      </c>
      <c r="K57" s="2">
        <f t="shared" si="0"/>
        <v>64.404202891896006</v>
      </c>
    </row>
    <row r="58" spans="1:11" x14ac:dyDescent="0.35">
      <c r="A58">
        <v>57</v>
      </c>
      <c r="B58">
        <v>57</v>
      </c>
      <c r="C58">
        <v>2500</v>
      </c>
      <c r="D58" t="s">
        <v>9</v>
      </c>
      <c r="E58">
        <v>364.87895569620298</v>
      </c>
      <c r="F58">
        <v>531.88197697877899</v>
      </c>
      <c r="G58">
        <v>10.151788640367</v>
      </c>
      <c r="H58">
        <v>20.457247032575498</v>
      </c>
      <c r="I58">
        <v>0.496244124353663</v>
      </c>
      <c r="J58">
        <v>0.61976584380154198</v>
      </c>
      <c r="K58" s="2">
        <f t="shared" si="0"/>
        <v>57.312716427758033</v>
      </c>
    </row>
    <row r="59" spans="1:11" x14ac:dyDescent="0.35">
      <c r="A59">
        <v>58</v>
      </c>
      <c r="B59">
        <v>58</v>
      </c>
      <c r="C59">
        <v>3000</v>
      </c>
      <c r="D59" t="s">
        <v>9</v>
      </c>
      <c r="E59">
        <v>356.45977011494301</v>
      </c>
      <c r="F59">
        <v>459.95182820982501</v>
      </c>
      <c r="G59">
        <v>19.847264730554201</v>
      </c>
      <c r="H59">
        <v>18.209636486203198</v>
      </c>
      <c r="I59">
        <v>1.0899319569389401</v>
      </c>
      <c r="J59">
        <v>0.27583071481457999</v>
      </c>
      <c r="K59" s="2">
        <f t="shared" si="0"/>
        <v>51.01584443519959</v>
      </c>
    </row>
    <row r="60" spans="1:11" x14ac:dyDescent="0.35">
      <c r="A60">
        <v>59</v>
      </c>
      <c r="B60">
        <v>59</v>
      </c>
      <c r="C60">
        <v>3500</v>
      </c>
      <c r="D60" t="s">
        <v>9</v>
      </c>
      <c r="E60">
        <v>374.41595925297099</v>
      </c>
      <c r="F60">
        <v>544.79738421461195</v>
      </c>
      <c r="G60">
        <v>-7.6900504243500301</v>
      </c>
      <c r="H60">
        <v>17.0987331281015</v>
      </c>
      <c r="I60">
        <v>-0.449743870890151</v>
      </c>
      <c r="J60">
        <v>0.65292300089162503</v>
      </c>
      <c r="K60" s="2">
        <f t="shared" si="0"/>
        <v>47.903554250692245</v>
      </c>
    </row>
    <row r="61" spans="1:11" x14ac:dyDescent="0.35">
      <c r="A61">
        <v>60</v>
      </c>
      <c r="B61">
        <v>60</v>
      </c>
      <c r="C61">
        <v>4000</v>
      </c>
      <c r="D61" t="s">
        <v>9</v>
      </c>
      <c r="E61">
        <v>371.77154724818303</v>
      </c>
      <c r="F61">
        <v>484.95350291550699</v>
      </c>
      <c r="G61">
        <v>-4.5690400157818001</v>
      </c>
      <c r="H61">
        <v>15.7338466090444</v>
      </c>
      <c r="I61">
        <v>-0.29039561204031</v>
      </c>
      <c r="J61">
        <v>0.771528661523046</v>
      </c>
      <c r="K61" s="2">
        <f t="shared" si="0"/>
        <v>44.079708652199663</v>
      </c>
    </row>
    <row r="62" spans="1:11" x14ac:dyDescent="0.35">
      <c r="A62">
        <v>61</v>
      </c>
      <c r="B62">
        <v>61</v>
      </c>
      <c r="C62">
        <v>4500</v>
      </c>
      <c r="D62" t="s">
        <v>9</v>
      </c>
      <c r="E62">
        <v>362.93225524475503</v>
      </c>
      <c r="F62">
        <v>442.487830212451</v>
      </c>
      <c r="G62">
        <v>8.2309454785722096</v>
      </c>
      <c r="H62">
        <v>14.8026960656083</v>
      </c>
      <c r="I62">
        <v>0.55604367218587303</v>
      </c>
      <c r="J62">
        <v>0.57820865784307296</v>
      </c>
      <c r="K62" s="2">
        <f t="shared" si="0"/>
        <v>41.47101125696723</v>
      </c>
    </row>
    <row r="63" spans="1:11" x14ac:dyDescent="0.35">
      <c r="A63">
        <v>62</v>
      </c>
      <c r="B63">
        <v>62</v>
      </c>
      <c r="C63">
        <v>5000</v>
      </c>
      <c r="D63" t="s">
        <v>9</v>
      </c>
      <c r="E63">
        <v>370.17357613328198</v>
      </c>
      <c r="F63">
        <v>481.19946799553202</v>
      </c>
      <c r="G63">
        <v>-13.9838283036009</v>
      </c>
      <c r="H63">
        <v>13.7325814948935</v>
      </c>
      <c r="I63">
        <v>-1.0182956721429901</v>
      </c>
      <c r="J63">
        <v>0.30858675299863397</v>
      </c>
      <c r="K63" s="2">
        <f t="shared" si="0"/>
        <v>38.472994327371211</v>
      </c>
    </row>
    <row r="64" spans="1:11" x14ac:dyDescent="0.35">
      <c r="A64">
        <v>63</v>
      </c>
      <c r="B64">
        <v>63</v>
      </c>
      <c r="C64">
        <v>5500</v>
      </c>
      <c r="D64" t="s">
        <v>9</v>
      </c>
      <c r="E64">
        <v>369.33222468588298</v>
      </c>
      <c r="F64">
        <v>502.11984942879002</v>
      </c>
      <c r="G64">
        <v>-2.5970779428623199</v>
      </c>
      <c r="H64">
        <v>13.2858576036237</v>
      </c>
      <c r="I64">
        <v>-0.195476876265329</v>
      </c>
      <c r="J64">
        <v>0.84502686207519795</v>
      </c>
      <c r="K64" s="2">
        <f t="shared" si="0"/>
        <v>37.221459374448109</v>
      </c>
    </row>
    <row r="65" spans="1:11" x14ac:dyDescent="0.35">
      <c r="A65">
        <v>64</v>
      </c>
      <c r="B65">
        <v>64</v>
      </c>
      <c r="C65">
        <v>6000</v>
      </c>
      <c r="D65" t="s">
        <v>9</v>
      </c>
      <c r="E65">
        <v>366.39796587926497</v>
      </c>
      <c r="F65">
        <v>489.68150445118101</v>
      </c>
      <c r="G65">
        <v>12.3063024134174</v>
      </c>
      <c r="H65">
        <v>12.971109641078501</v>
      </c>
      <c r="I65">
        <v>0.94874708131710195</v>
      </c>
      <c r="J65">
        <v>0.34278748553939098</v>
      </c>
      <c r="K65" s="2">
        <f t="shared" si="0"/>
        <v>36.339666203800917</v>
      </c>
    </row>
    <row r="66" spans="1:11" x14ac:dyDescent="0.35">
      <c r="A66">
        <v>65</v>
      </c>
      <c r="B66">
        <v>65</v>
      </c>
      <c r="C66">
        <v>6500</v>
      </c>
      <c r="D66" t="s">
        <v>9</v>
      </c>
      <c r="E66">
        <v>376.36690647481998</v>
      </c>
      <c r="F66">
        <v>503.28256662702302</v>
      </c>
      <c r="G66">
        <v>-6.6560375677652397</v>
      </c>
      <c r="H66">
        <v>12.4065820764995</v>
      </c>
      <c r="I66">
        <v>-0.53649244624537495</v>
      </c>
      <c r="J66">
        <v>0.591636620880166</v>
      </c>
      <c r="K66" s="2">
        <f t="shared" si="0"/>
        <v>34.758094246789852</v>
      </c>
    </row>
    <row r="67" spans="1:11" x14ac:dyDescent="0.35">
      <c r="A67">
        <v>66</v>
      </c>
      <c r="B67">
        <v>66</v>
      </c>
      <c r="C67">
        <v>7000</v>
      </c>
      <c r="D67" t="s">
        <v>9</v>
      </c>
      <c r="E67">
        <v>375.17056277056298</v>
      </c>
      <c r="F67">
        <v>497.35454957049001</v>
      </c>
      <c r="G67">
        <v>-7.0978612146935101</v>
      </c>
      <c r="H67">
        <v>11.843466186101599</v>
      </c>
      <c r="I67">
        <v>-0.59930607333712005</v>
      </c>
      <c r="J67">
        <v>0.54898819966507795</v>
      </c>
      <c r="K67" s="2">
        <f t="shared" ref="K67:K130" si="1">H67*2.801585</f>
        <v>33.180477214989452</v>
      </c>
    </row>
    <row r="68" spans="1:11" x14ac:dyDescent="0.35">
      <c r="A68">
        <v>67</v>
      </c>
      <c r="B68">
        <v>67</v>
      </c>
      <c r="C68">
        <v>7500</v>
      </c>
      <c r="D68" t="s">
        <v>9</v>
      </c>
      <c r="E68">
        <v>368.85252735799901</v>
      </c>
      <c r="F68">
        <v>483.78820575188098</v>
      </c>
      <c r="G68">
        <v>1.9366588790302499</v>
      </c>
      <c r="H68">
        <v>11.385274112416299</v>
      </c>
      <c r="I68">
        <v>0.17010208624825399</v>
      </c>
      <c r="J68">
        <v>0.86493444208770598</v>
      </c>
      <c r="K68" s="2">
        <f t="shared" si="1"/>
        <v>31.89681317423382</v>
      </c>
    </row>
    <row r="69" spans="1:11" x14ac:dyDescent="0.35">
      <c r="A69">
        <v>68</v>
      </c>
      <c r="B69">
        <v>68</v>
      </c>
      <c r="C69">
        <v>8000</v>
      </c>
      <c r="D69" t="s">
        <v>9</v>
      </c>
      <c r="E69">
        <v>381.29848145382101</v>
      </c>
      <c r="F69">
        <v>509.83273444507</v>
      </c>
      <c r="G69">
        <v>-20.8573566735055</v>
      </c>
      <c r="H69">
        <v>11.0860820173178</v>
      </c>
      <c r="I69">
        <v>-1.8814001773506499</v>
      </c>
      <c r="J69">
        <v>5.9953792790878903E-2</v>
      </c>
      <c r="K69" s="2">
        <f t="shared" si="1"/>
        <v>31.05860108848729</v>
      </c>
    </row>
    <row r="70" spans="1:11" x14ac:dyDescent="0.35">
      <c r="A70">
        <v>69</v>
      </c>
      <c r="B70">
        <v>69</v>
      </c>
      <c r="C70">
        <v>8500</v>
      </c>
      <c r="D70" t="s">
        <v>9</v>
      </c>
      <c r="E70">
        <v>369.91423872180502</v>
      </c>
      <c r="F70">
        <v>501.45178320616498</v>
      </c>
      <c r="G70">
        <v>2.9865624092047498</v>
      </c>
      <c r="H70">
        <v>10.7879385218904</v>
      </c>
      <c r="I70">
        <v>0.276842735351574</v>
      </c>
      <c r="J70">
        <v>0.78190759819387801</v>
      </c>
      <c r="K70" s="2">
        <f t="shared" si="1"/>
        <v>30.223326743850318</v>
      </c>
    </row>
    <row r="71" spans="1:11" x14ac:dyDescent="0.35">
      <c r="A71">
        <v>70</v>
      </c>
      <c r="B71">
        <v>70</v>
      </c>
      <c r="C71">
        <v>9000</v>
      </c>
      <c r="D71" t="s">
        <v>9</v>
      </c>
      <c r="E71">
        <v>370.61645060348701</v>
      </c>
      <c r="F71">
        <v>515.40989785369095</v>
      </c>
      <c r="G71">
        <v>-2.60540332111874</v>
      </c>
      <c r="H71">
        <v>10.4075681035382</v>
      </c>
      <c r="I71">
        <v>-0.25033737903026498</v>
      </c>
      <c r="J71">
        <v>0.80233216756598502</v>
      </c>
      <c r="K71" s="2">
        <f t="shared" si="1"/>
        <v>29.15768668535107</v>
      </c>
    </row>
    <row r="72" spans="1:11" x14ac:dyDescent="0.35">
      <c r="A72">
        <v>71</v>
      </c>
      <c r="B72">
        <v>71</v>
      </c>
      <c r="C72">
        <v>9500</v>
      </c>
      <c r="D72" t="s">
        <v>9</v>
      </c>
      <c r="E72">
        <v>366.22554347826099</v>
      </c>
      <c r="F72">
        <v>476.95853729334499</v>
      </c>
      <c r="G72">
        <v>-0.89793533576706697</v>
      </c>
      <c r="H72">
        <v>10.0162136918537</v>
      </c>
      <c r="I72">
        <v>-8.96481807788677E-2</v>
      </c>
      <c r="J72">
        <v>0.92856868602479703</v>
      </c>
      <c r="K72" s="2">
        <f t="shared" si="1"/>
        <v>28.061274035891952</v>
      </c>
    </row>
    <row r="73" spans="1:11" x14ac:dyDescent="0.35">
      <c r="A73">
        <v>72</v>
      </c>
      <c r="B73">
        <v>72</v>
      </c>
      <c r="C73">
        <v>10000</v>
      </c>
      <c r="D73" t="s">
        <v>9</v>
      </c>
      <c r="E73">
        <v>366.469367190649</v>
      </c>
      <c r="F73">
        <v>498.50744974663598</v>
      </c>
      <c r="G73">
        <v>-3.2833806880685299</v>
      </c>
      <c r="H73">
        <v>9.7719155039493195</v>
      </c>
      <c r="I73">
        <v>-0.33600174773733399</v>
      </c>
      <c r="J73">
        <v>0.73687659937917704</v>
      </c>
      <c r="K73" s="2">
        <f t="shared" si="1"/>
        <v>27.376851897131857</v>
      </c>
    </row>
    <row r="74" spans="1:11" x14ac:dyDescent="0.35">
      <c r="A74">
        <v>73</v>
      </c>
      <c r="B74">
        <v>73</v>
      </c>
      <c r="C74">
        <v>10500</v>
      </c>
      <c r="D74" t="s">
        <v>9</v>
      </c>
      <c r="E74">
        <v>367.366939319003</v>
      </c>
      <c r="F74">
        <v>477.06397832646797</v>
      </c>
      <c r="G74">
        <v>-4.8941184149414596</v>
      </c>
      <c r="H74">
        <v>9.4920015643400699</v>
      </c>
      <c r="I74">
        <v>-0.51560446780032998</v>
      </c>
      <c r="J74">
        <v>0.60614154690685895</v>
      </c>
      <c r="K74" s="2">
        <f t="shared" si="1"/>
        <v>26.592649202631677</v>
      </c>
    </row>
    <row r="75" spans="1:11" x14ac:dyDescent="0.35">
      <c r="A75">
        <v>74</v>
      </c>
      <c r="B75">
        <v>74</v>
      </c>
      <c r="C75">
        <v>11000</v>
      </c>
      <c r="D75" t="s">
        <v>9</v>
      </c>
      <c r="E75">
        <v>372.20177219863399</v>
      </c>
      <c r="F75">
        <v>479.89523460928302</v>
      </c>
      <c r="G75">
        <v>-12.671949522652801</v>
      </c>
      <c r="H75">
        <v>9.2468899363269408</v>
      </c>
      <c r="I75">
        <v>-1.3704012494915001</v>
      </c>
      <c r="J75">
        <v>0.17058965227689199</v>
      </c>
      <c r="K75" s="2">
        <f t="shared" si="1"/>
        <v>25.905948142264513</v>
      </c>
    </row>
    <row r="76" spans="1:11" x14ac:dyDescent="0.35">
      <c r="A76">
        <v>75</v>
      </c>
      <c r="B76">
        <v>75</v>
      </c>
      <c r="C76">
        <v>11500</v>
      </c>
      <c r="D76" t="s">
        <v>9</v>
      </c>
      <c r="E76">
        <v>362.52707454289703</v>
      </c>
      <c r="F76">
        <v>465.82474923356</v>
      </c>
      <c r="G76">
        <v>8.9386859526298394</v>
      </c>
      <c r="H76">
        <v>9.0324744485848605</v>
      </c>
      <c r="I76">
        <v>0.98961652241709797</v>
      </c>
      <c r="J76">
        <v>0.32238241555118802</v>
      </c>
      <c r="K76" s="2">
        <f t="shared" si="1"/>
        <v>25.305244928038618</v>
      </c>
    </row>
    <row r="77" spans="1:11" x14ac:dyDescent="0.35">
      <c r="A77">
        <v>76</v>
      </c>
      <c r="B77">
        <v>76</v>
      </c>
      <c r="C77">
        <v>12000</v>
      </c>
      <c r="D77" t="s">
        <v>9</v>
      </c>
      <c r="E77">
        <v>372.81508801341198</v>
      </c>
      <c r="F77">
        <v>492.12167564078402</v>
      </c>
      <c r="G77">
        <v>-8.6006721062038096</v>
      </c>
      <c r="H77">
        <v>8.9125543271382401</v>
      </c>
      <c r="I77">
        <v>-0.96500641572699797</v>
      </c>
      <c r="J77">
        <v>0.33456104801898301</v>
      </c>
      <c r="K77" s="2">
        <f t="shared" si="1"/>
        <v>24.969278514595587</v>
      </c>
    </row>
    <row r="78" spans="1:11" x14ac:dyDescent="0.35">
      <c r="A78">
        <v>77</v>
      </c>
      <c r="B78">
        <v>77</v>
      </c>
      <c r="C78">
        <v>12500</v>
      </c>
      <c r="D78" t="s">
        <v>9</v>
      </c>
      <c r="E78">
        <v>369.437420584498</v>
      </c>
      <c r="F78">
        <v>513.12167538314702</v>
      </c>
      <c r="G78">
        <v>-0.118755207321334</v>
      </c>
      <c r="H78">
        <v>8.8333645177138607</v>
      </c>
      <c r="I78">
        <v>-1.34439382732582E-2</v>
      </c>
      <c r="J78">
        <v>0.98927382691575705</v>
      </c>
      <c r="K78" s="2">
        <f t="shared" si="1"/>
        <v>24.74742153235939</v>
      </c>
    </row>
    <row r="79" spans="1:11" x14ac:dyDescent="0.35">
      <c r="A79">
        <v>78</v>
      </c>
      <c r="B79">
        <v>78</v>
      </c>
      <c r="C79">
        <v>13000</v>
      </c>
      <c r="D79" t="s">
        <v>9</v>
      </c>
      <c r="E79">
        <v>372.94993800371998</v>
      </c>
      <c r="F79">
        <v>492.65367604928701</v>
      </c>
      <c r="G79">
        <v>-4.8353992132496302</v>
      </c>
      <c r="H79">
        <v>8.6738344687601607</v>
      </c>
      <c r="I79">
        <v>-0.55746962092312102</v>
      </c>
      <c r="J79">
        <v>0.57721620935648299</v>
      </c>
      <c r="K79" s="2">
        <f t="shared" si="1"/>
        <v>24.300484540161438</v>
      </c>
    </row>
    <row r="80" spans="1:11" x14ac:dyDescent="0.35">
      <c r="A80">
        <v>79</v>
      </c>
      <c r="B80">
        <v>79</v>
      </c>
      <c r="C80">
        <v>13500</v>
      </c>
      <c r="D80" t="s">
        <v>9</v>
      </c>
      <c r="E80">
        <v>369.54747116237797</v>
      </c>
      <c r="F80">
        <v>497.269034544997</v>
      </c>
      <c r="G80">
        <v>2.04291174056066</v>
      </c>
      <c r="H80">
        <v>8.4825933280521699</v>
      </c>
      <c r="I80">
        <v>0.240835751703986</v>
      </c>
      <c r="J80">
        <v>0.80968607695163297</v>
      </c>
      <c r="K80" s="2">
        <f t="shared" si="1"/>
        <v>23.76470622897104</v>
      </c>
    </row>
    <row r="81" spans="1:11" x14ac:dyDescent="0.35">
      <c r="A81">
        <v>80</v>
      </c>
      <c r="B81">
        <v>80</v>
      </c>
      <c r="C81">
        <v>14000</v>
      </c>
      <c r="D81" t="s">
        <v>9</v>
      </c>
      <c r="E81">
        <v>368.36820983230598</v>
      </c>
      <c r="F81">
        <v>489.56073725623099</v>
      </c>
      <c r="G81">
        <v>6.2143047625972798</v>
      </c>
      <c r="H81">
        <v>8.3796874847120204</v>
      </c>
      <c r="I81">
        <v>0.74159147031851902</v>
      </c>
      <c r="J81">
        <v>0.458347334504763</v>
      </c>
      <c r="K81" s="2">
        <f t="shared" si="1"/>
        <v>23.476406761856929</v>
      </c>
    </row>
    <row r="82" spans="1:11" x14ac:dyDescent="0.35">
      <c r="A82">
        <v>81</v>
      </c>
      <c r="B82">
        <v>81</v>
      </c>
      <c r="C82">
        <v>1000</v>
      </c>
      <c r="D82" t="s">
        <v>9</v>
      </c>
      <c r="E82">
        <v>337.47727272727298</v>
      </c>
      <c r="F82">
        <v>431.80901851155102</v>
      </c>
      <c r="G82">
        <v>59.148696264976103</v>
      </c>
      <c r="H82">
        <v>34.896255328269397</v>
      </c>
      <c r="I82">
        <v>1.69498691789603</v>
      </c>
      <c r="J82">
        <v>9.0389850656683299E-2</v>
      </c>
      <c r="K82" s="2">
        <f t="shared" si="1"/>
        <v>97.764825483849634</v>
      </c>
    </row>
    <row r="83" spans="1:11" x14ac:dyDescent="0.35">
      <c r="A83">
        <v>82</v>
      </c>
      <c r="B83">
        <v>82</v>
      </c>
      <c r="C83">
        <v>1500</v>
      </c>
      <c r="D83" t="s">
        <v>9</v>
      </c>
      <c r="E83">
        <v>366.741976893453</v>
      </c>
      <c r="F83">
        <v>468.48929547097902</v>
      </c>
      <c r="G83">
        <v>4.39394543664379</v>
      </c>
      <c r="H83">
        <v>27.1905700021866</v>
      </c>
      <c r="I83">
        <v>0.16159813627630601</v>
      </c>
      <c r="J83">
        <v>0.87164411683757204</v>
      </c>
      <c r="K83" s="2">
        <f t="shared" si="1"/>
        <v>76.176693059575953</v>
      </c>
    </row>
    <row r="84" spans="1:11" x14ac:dyDescent="0.35">
      <c r="A84">
        <v>83</v>
      </c>
      <c r="B84">
        <v>83</v>
      </c>
      <c r="C84">
        <v>2000</v>
      </c>
      <c r="D84" t="s">
        <v>9</v>
      </c>
      <c r="E84">
        <v>363.66464032421499</v>
      </c>
      <c r="F84">
        <v>443.82533385733802</v>
      </c>
      <c r="G84">
        <v>17.295873002537</v>
      </c>
      <c r="H84">
        <v>22.9382988745209</v>
      </c>
      <c r="I84">
        <v>0.754017248495646</v>
      </c>
      <c r="J84">
        <v>0.45092771542063198</v>
      </c>
      <c r="K84" s="2">
        <f t="shared" si="1"/>
        <v>64.263594052374643</v>
      </c>
    </row>
    <row r="85" spans="1:11" x14ac:dyDescent="0.35">
      <c r="A85">
        <v>84</v>
      </c>
      <c r="B85">
        <v>84</v>
      </c>
      <c r="C85">
        <v>2500</v>
      </c>
      <c r="D85" t="s">
        <v>9</v>
      </c>
      <c r="E85">
        <v>370.60459587955597</v>
      </c>
      <c r="F85">
        <v>458.47745795782299</v>
      </c>
      <c r="G85">
        <v>-1.4268899021731001</v>
      </c>
      <c r="H85">
        <v>20.5157378677021</v>
      </c>
      <c r="I85">
        <v>-6.9550991115920405E-2</v>
      </c>
      <c r="J85">
        <v>0.94455661275747005</v>
      </c>
      <c r="K85" s="2">
        <f t="shared" si="1"/>
        <v>57.476583474086191</v>
      </c>
    </row>
    <row r="86" spans="1:11" x14ac:dyDescent="0.35">
      <c r="A86">
        <v>85</v>
      </c>
      <c r="B86">
        <v>85</v>
      </c>
      <c r="C86">
        <v>3000</v>
      </c>
      <c r="D86" t="s">
        <v>9</v>
      </c>
      <c r="E86">
        <v>372.20682989690698</v>
      </c>
      <c r="F86">
        <v>504.05705072471898</v>
      </c>
      <c r="G86">
        <v>-11.777271885857999</v>
      </c>
      <c r="H86">
        <v>18.247789533181699</v>
      </c>
      <c r="I86">
        <v>-0.64540813913061901</v>
      </c>
      <c r="J86">
        <v>0.51871212000308498</v>
      </c>
      <c r="K86" s="2">
        <f t="shared" si="1"/>
        <v>51.122733439318857</v>
      </c>
    </row>
    <row r="87" spans="1:11" x14ac:dyDescent="0.35">
      <c r="A87">
        <v>86</v>
      </c>
      <c r="B87">
        <v>86</v>
      </c>
      <c r="C87">
        <v>3500</v>
      </c>
      <c r="D87" t="s">
        <v>9</v>
      </c>
      <c r="E87">
        <v>357.69328703703701</v>
      </c>
      <c r="F87">
        <v>468.079384337492</v>
      </c>
      <c r="G87">
        <v>25.509308899758299</v>
      </c>
      <c r="H87">
        <v>17.089918983407198</v>
      </c>
      <c r="I87">
        <v>1.4926524183365399</v>
      </c>
      <c r="J87">
        <v>0.13561837703179599</v>
      </c>
      <c r="K87" s="2">
        <f t="shared" si="1"/>
        <v>47.878860675128863</v>
      </c>
    </row>
    <row r="88" spans="1:11" x14ac:dyDescent="0.35">
      <c r="A88">
        <v>87</v>
      </c>
      <c r="B88">
        <v>87</v>
      </c>
      <c r="C88">
        <v>4000</v>
      </c>
      <c r="D88" t="s">
        <v>9</v>
      </c>
      <c r="E88">
        <v>365.124690747155</v>
      </c>
      <c r="F88">
        <v>477.10523497086001</v>
      </c>
      <c r="G88">
        <v>8.6464057662354197</v>
      </c>
      <c r="H88">
        <v>15.766339932409901</v>
      </c>
      <c r="I88">
        <v>0.54840919346547301</v>
      </c>
      <c r="J88">
        <v>0.58344158568517002</v>
      </c>
      <c r="K88" s="2">
        <f t="shared" si="1"/>
        <v>44.170741459540594</v>
      </c>
    </row>
    <row r="89" spans="1:11" x14ac:dyDescent="0.35">
      <c r="A89">
        <v>88</v>
      </c>
      <c r="B89">
        <v>88</v>
      </c>
      <c r="C89">
        <v>4500</v>
      </c>
      <c r="D89" t="s">
        <v>9</v>
      </c>
      <c r="E89">
        <v>352.82806052269598</v>
      </c>
      <c r="F89">
        <v>458.53009091712403</v>
      </c>
      <c r="G89">
        <v>27.458269792094601</v>
      </c>
      <c r="H89">
        <v>14.690211915640299</v>
      </c>
      <c r="I89">
        <v>1.8691540972843499</v>
      </c>
      <c r="J89">
        <v>6.16663132860144E-2</v>
      </c>
      <c r="K89" s="2">
        <f t="shared" si="1"/>
        <v>41.15587734967913</v>
      </c>
    </row>
    <row r="90" spans="1:11" x14ac:dyDescent="0.35">
      <c r="A90">
        <v>89</v>
      </c>
      <c r="B90">
        <v>89</v>
      </c>
      <c r="C90">
        <v>5000</v>
      </c>
      <c r="D90" t="s">
        <v>9</v>
      </c>
      <c r="E90">
        <v>371.92209856915701</v>
      </c>
      <c r="F90">
        <v>518.42111528743897</v>
      </c>
      <c r="G90">
        <v>-17.1374769910576</v>
      </c>
      <c r="H90">
        <v>13.7052551130782</v>
      </c>
      <c r="I90">
        <v>-1.2504310827971601</v>
      </c>
      <c r="J90">
        <v>0.21120065431652599</v>
      </c>
      <c r="K90" s="2">
        <f t="shared" si="1"/>
        <v>38.396437145973195</v>
      </c>
    </row>
    <row r="91" spans="1:11" x14ac:dyDescent="0.35">
      <c r="A91">
        <v>90</v>
      </c>
      <c r="B91">
        <v>90</v>
      </c>
      <c r="C91">
        <v>5500</v>
      </c>
      <c r="D91" t="s">
        <v>9</v>
      </c>
      <c r="E91">
        <v>374.12961672473898</v>
      </c>
      <c r="F91">
        <v>470.42218298925002</v>
      </c>
      <c r="G91">
        <v>-12.7915939110504</v>
      </c>
      <c r="H91">
        <v>13.3394756406077</v>
      </c>
      <c r="I91">
        <v>-0.95892779114274296</v>
      </c>
      <c r="J91">
        <v>0.33763728935836101</v>
      </c>
      <c r="K91" s="2">
        <f t="shared" si="1"/>
        <v>37.371674862591924</v>
      </c>
    </row>
    <row r="92" spans="1:11" x14ac:dyDescent="0.35">
      <c r="A92">
        <v>91</v>
      </c>
      <c r="B92">
        <v>91</v>
      </c>
      <c r="C92">
        <v>6000</v>
      </c>
      <c r="D92" t="s">
        <v>9</v>
      </c>
      <c r="E92">
        <v>373.33862791483602</v>
      </c>
      <c r="F92">
        <v>517.82849196513098</v>
      </c>
      <c r="G92">
        <v>-1.7480327158878901</v>
      </c>
      <c r="H92">
        <v>12.9728260323517</v>
      </c>
      <c r="I92">
        <v>-0.13474571473699301</v>
      </c>
      <c r="J92">
        <v>0.892817448800588</v>
      </c>
      <c r="K92" s="2">
        <f t="shared" si="1"/>
        <v>36.344474819846042</v>
      </c>
    </row>
    <row r="93" spans="1:11" x14ac:dyDescent="0.35">
      <c r="A93">
        <v>92</v>
      </c>
      <c r="B93">
        <v>92</v>
      </c>
      <c r="C93">
        <v>6500</v>
      </c>
      <c r="D93" t="s">
        <v>9</v>
      </c>
      <c r="E93">
        <v>381.81514138035902</v>
      </c>
      <c r="F93">
        <v>489.239017436121</v>
      </c>
      <c r="G93">
        <v>-17.875558695835</v>
      </c>
      <c r="H93">
        <v>12.4076917030205</v>
      </c>
      <c r="I93">
        <v>-1.4406836600786499</v>
      </c>
      <c r="J93">
        <v>0.14972225413435999</v>
      </c>
      <c r="K93" s="2">
        <f t="shared" si="1"/>
        <v>34.761202959806688</v>
      </c>
    </row>
    <row r="94" spans="1:11" x14ac:dyDescent="0.35">
      <c r="A94">
        <v>93</v>
      </c>
      <c r="B94">
        <v>93</v>
      </c>
      <c r="C94">
        <v>7000</v>
      </c>
      <c r="D94" t="s">
        <v>9</v>
      </c>
      <c r="E94">
        <v>372.92338943702799</v>
      </c>
      <c r="F94">
        <v>473.43662323388497</v>
      </c>
      <c r="G94">
        <v>-2.63385651637623</v>
      </c>
      <c r="H94">
        <v>11.8280111113424</v>
      </c>
      <c r="I94">
        <v>-0.22267957745241701</v>
      </c>
      <c r="J94">
        <v>0.82379139586737904</v>
      </c>
      <c r="K94" s="2">
        <f t="shared" si="1"/>
        <v>33.137178509370202</v>
      </c>
    </row>
    <row r="95" spans="1:11" x14ac:dyDescent="0.35">
      <c r="A95">
        <v>94</v>
      </c>
      <c r="B95">
        <v>94</v>
      </c>
      <c r="C95">
        <v>7500</v>
      </c>
      <c r="D95" t="s">
        <v>9</v>
      </c>
      <c r="E95">
        <v>358.04068522483902</v>
      </c>
      <c r="F95">
        <v>456.90445830644597</v>
      </c>
      <c r="G95">
        <v>23.4274337974764</v>
      </c>
      <c r="H95">
        <v>11.363702156472</v>
      </c>
      <c r="I95">
        <v>2.0616022379760999</v>
      </c>
      <c r="J95">
        <v>3.92800108039775E-2</v>
      </c>
      <c r="K95" s="2">
        <f t="shared" si="1"/>
        <v>31.836377506039611</v>
      </c>
    </row>
    <row r="96" spans="1:11" x14ac:dyDescent="0.35">
      <c r="A96">
        <v>95</v>
      </c>
      <c r="B96">
        <v>95</v>
      </c>
      <c r="C96">
        <v>8000</v>
      </c>
      <c r="D96" t="s">
        <v>9</v>
      </c>
      <c r="E96">
        <v>369.29015415216298</v>
      </c>
      <c r="F96">
        <v>483.89064187349101</v>
      </c>
      <c r="G96">
        <v>3.2659041686020198</v>
      </c>
      <c r="H96">
        <v>11.094198740029199</v>
      </c>
      <c r="I96">
        <v>0.29437945408515598</v>
      </c>
      <c r="J96">
        <v>0.76847560465132503</v>
      </c>
      <c r="K96" s="2">
        <f t="shared" si="1"/>
        <v>31.081340777084705</v>
      </c>
    </row>
    <row r="97" spans="1:11" x14ac:dyDescent="0.35">
      <c r="A97">
        <v>96</v>
      </c>
      <c r="B97">
        <v>96</v>
      </c>
      <c r="C97">
        <v>8500</v>
      </c>
      <c r="D97" t="s">
        <v>9</v>
      </c>
      <c r="E97">
        <v>370.88044485634799</v>
      </c>
      <c r="F97">
        <v>512.27440464745598</v>
      </c>
      <c r="G97">
        <v>1.06649587022954</v>
      </c>
      <c r="H97">
        <v>10.779085795421601</v>
      </c>
      <c r="I97">
        <v>9.8941217323136002E-2</v>
      </c>
      <c r="J97">
        <v>0.92118727642006504</v>
      </c>
      <c r="K97" s="2">
        <f t="shared" si="1"/>
        <v>30.198525078166227</v>
      </c>
    </row>
    <row r="98" spans="1:11" x14ac:dyDescent="0.35">
      <c r="A98">
        <v>97</v>
      </c>
      <c r="B98">
        <v>97</v>
      </c>
      <c r="C98">
        <v>9000</v>
      </c>
      <c r="D98" t="s">
        <v>9</v>
      </c>
      <c r="E98">
        <v>379.844219977553</v>
      </c>
      <c r="F98">
        <v>507.49497662504501</v>
      </c>
      <c r="G98">
        <v>-20.8673222877832</v>
      </c>
      <c r="H98">
        <v>10.4061975760759</v>
      </c>
      <c r="I98">
        <v>-2.0052783098946501</v>
      </c>
      <c r="J98">
        <v>4.4963194296233099E-2</v>
      </c>
      <c r="K98" s="2">
        <f t="shared" si="1"/>
        <v>29.153847036170603</v>
      </c>
    </row>
    <row r="99" spans="1:11" x14ac:dyDescent="0.35">
      <c r="A99">
        <v>98</v>
      </c>
      <c r="B99">
        <v>98</v>
      </c>
      <c r="C99">
        <v>9500</v>
      </c>
      <c r="D99" t="s">
        <v>9</v>
      </c>
      <c r="E99">
        <v>365.147381756757</v>
      </c>
      <c r="F99">
        <v>475.22810731985101</v>
      </c>
      <c r="G99">
        <v>1.2610985119251701</v>
      </c>
      <c r="H99">
        <v>10.0112819153768</v>
      </c>
      <c r="I99">
        <v>0.125967735459351</v>
      </c>
      <c r="J99">
        <v>0.89976013066595295</v>
      </c>
      <c r="K99" s="2">
        <f t="shared" si="1"/>
        <v>28.047457244890914</v>
      </c>
    </row>
    <row r="100" spans="1:11" x14ac:dyDescent="0.35">
      <c r="A100">
        <v>99</v>
      </c>
      <c r="B100">
        <v>99</v>
      </c>
      <c r="C100">
        <v>10000</v>
      </c>
      <c r="D100" t="s">
        <v>9</v>
      </c>
      <c r="E100">
        <v>365.34786167382902</v>
      </c>
      <c r="F100">
        <v>466.11431118549302</v>
      </c>
      <c r="G100">
        <v>-1.0417791391128199</v>
      </c>
      <c r="H100">
        <v>9.7518263531797995</v>
      </c>
      <c r="I100">
        <v>-0.10682913142450801</v>
      </c>
      <c r="J100">
        <v>0.91492667957197005</v>
      </c>
      <c r="K100" s="2">
        <f t="shared" si="1"/>
        <v>27.320570433673232</v>
      </c>
    </row>
    <row r="101" spans="1:11" x14ac:dyDescent="0.35">
      <c r="A101">
        <v>100</v>
      </c>
      <c r="B101">
        <v>100</v>
      </c>
      <c r="C101">
        <v>10500</v>
      </c>
      <c r="D101" t="s">
        <v>9</v>
      </c>
      <c r="E101">
        <v>376.857738998483</v>
      </c>
      <c r="F101">
        <v>512.97733036949398</v>
      </c>
      <c r="G101">
        <v>-23.969636473616902</v>
      </c>
      <c r="H101">
        <v>9.48430020160189</v>
      </c>
      <c r="I101">
        <v>-2.5272962647859298</v>
      </c>
      <c r="J101">
        <v>1.1509005595927E-2</v>
      </c>
      <c r="K101" s="2">
        <f t="shared" si="1"/>
        <v>26.571073180304833</v>
      </c>
    </row>
    <row r="102" spans="1:11" x14ac:dyDescent="0.35">
      <c r="A102">
        <v>101</v>
      </c>
      <c r="B102">
        <v>101</v>
      </c>
      <c r="C102">
        <v>11000</v>
      </c>
      <c r="D102" t="s">
        <v>9</v>
      </c>
      <c r="E102">
        <v>366.363900490285</v>
      </c>
      <c r="F102">
        <v>484.24897546650402</v>
      </c>
      <c r="G102">
        <v>-1.18895055400279</v>
      </c>
      <c r="H102">
        <v>9.2495217605718896</v>
      </c>
      <c r="I102">
        <v>-0.12854184084099901</v>
      </c>
      <c r="J102">
        <v>0.89772253900586196</v>
      </c>
      <c r="K102" s="2">
        <f t="shared" si="1"/>
        <v>25.9133214215918</v>
      </c>
    </row>
    <row r="103" spans="1:11" x14ac:dyDescent="0.35">
      <c r="A103">
        <v>102</v>
      </c>
      <c r="B103">
        <v>102</v>
      </c>
      <c r="C103">
        <v>11500</v>
      </c>
      <c r="D103" t="s">
        <v>9</v>
      </c>
      <c r="E103">
        <v>360.38296011196599</v>
      </c>
      <c r="F103">
        <v>469.19265046955701</v>
      </c>
      <c r="G103">
        <v>13.2449790304958</v>
      </c>
      <c r="H103">
        <v>9.0356637645589704</v>
      </c>
      <c r="I103">
        <v>1.4658556776367899</v>
      </c>
      <c r="J103">
        <v>0.14271495438614901</v>
      </c>
      <c r="K103" s="2">
        <f t="shared" si="1"/>
        <v>25.314180067831945</v>
      </c>
    </row>
    <row r="104" spans="1:11" x14ac:dyDescent="0.35">
      <c r="A104">
        <v>103</v>
      </c>
      <c r="B104">
        <v>103</v>
      </c>
      <c r="C104">
        <v>12000</v>
      </c>
      <c r="D104" t="s">
        <v>9</v>
      </c>
      <c r="E104">
        <v>382.15204775327499</v>
      </c>
      <c r="F104">
        <v>499.13931719728703</v>
      </c>
      <c r="G104">
        <v>-27.466673318695801</v>
      </c>
      <c r="H104">
        <v>8.9063168960288692</v>
      </c>
      <c r="I104">
        <v>-3.0839541910913399</v>
      </c>
      <c r="J104">
        <v>2.0473307729739799E-3</v>
      </c>
      <c r="K104" s="2">
        <f t="shared" si="1"/>
        <v>24.951803821161043</v>
      </c>
    </row>
    <row r="105" spans="1:11" x14ac:dyDescent="0.35">
      <c r="A105">
        <v>104</v>
      </c>
      <c r="B105">
        <v>104</v>
      </c>
      <c r="C105">
        <v>12500</v>
      </c>
      <c r="D105" t="s">
        <v>9</v>
      </c>
      <c r="E105">
        <v>364.92640761300601</v>
      </c>
      <c r="F105">
        <v>486.31374901055602</v>
      </c>
      <c r="G105">
        <v>8.9831969067678905</v>
      </c>
      <c r="H105">
        <v>8.8406933412067801</v>
      </c>
      <c r="I105">
        <v>1.01611904859282</v>
      </c>
      <c r="J105">
        <v>0.30959236901764098</v>
      </c>
      <c r="K105" s="2">
        <f t="shared" si="1"/>
        <v>24.767953854324798</v>
      </c>
    </row>
    <row r="106" spans="1:11" x14ac:dyDescent="0.35">
      <c r="A106">
        <v>105</v>
      </c>
      <c r="B106">
        <v>105</v>
      </c>
      <c r="C106">
        <v>13000</v>
      </c>
      <c r="D106" t="s">
        <v>9</v>
      </c>
      <c r="E106">
        <v>370.55247101891399</v>
      </c>
      <c r="F106">
        <v>493.57629002335801</v>
      </c>
      <c r="G106">
        <v>-7.6834768138542398E-2</v>
      </c>
      <c r="H106">
        <v>8.6747581986119204</v>
      </c>
      <c r="I106">
        <v>-8.8572806733491494E-3</v>
      </c>
      <c r="J106">
        <v>0.99293314083325701</v>
      </c>
      <c r="K106" s="2">
        <f t="shared" si="1"/>
        <v>24.303072447858177</v>
      </c>
    </row>
    <row r="107" spans="1:11" x14ac:dyDescent="0.35">
      <c r="A107">
        <v>106</v>
      </c>
      <c r="B107">
        <v>106</v>
      </c>
      <c r="C107">
        <v>13500</v>
      </c>
      <c r="D107" t="s">
        <v>9</v>
      </c>
      <c r="E107">
        <v>367.66854265402799</v>
      </c>
      <c r="F107">
        <v>494.24132262952998</v>
      </c>
      <c r="G107">
        <v>5.79885509345287</v>
      </c>
      <c r="H107">
        <v>8.4827135587216507</v>
      </c>
      <c r="I107">
        <v>0.683608500193983</v>
      </c>
      <c r="J107">
        <v>0.49423415005758198</v>
      </c>
      <c r="K107" s="2">
        <f t="shared" si="1"/>
        <v>23.765043065411199</v>
      </c>
    </row>
    <row r="108" spans="1:11" x14ac:dyDescent="0.35">
      <c r="A108">
        <v>107</v>
      </c>
      <c r="B108">
        <v>107</v>
      </c>
      <c r="C108">
        <v>14000</v>
      </c>
      <c r="D108" t="s">
        <v>9</v>
      </c>
      <c r="E108">
        <v>367.07039864291801</v>
      </c>
      <c r="F108">
        <v>482.37454610971201</v>
      </c>
      <c r="G108">
        <v>8.92469231867784</v>
      </c>
      <c r="H108">
        <v>8.3853797958603504</v>
      </c>
      <c r="I108">
        <v>1.06431581346903</v>
      </c>
      <c r="J108">
        <v>0.28720401540713297</v>
      </c>
      <c r="K108" s="2">
        <f t="shared" si="1"/>
        <v>23.492354255385422</v>
      </c>
    </row>
    <row r="109" spans="1:11" x14ac:dyDescent="0.35">
      <c r="A109">
        <v>108</v>
      </c>
      <c r="B109">
        <v>108</v>
      </c>
      <c r="C109">
        <v>1000</v>
      </c>
      <c r="D109" t="s">
        <v>9</v>
      </c>
      <c r="E109">
        <v>353.525879917184</v>
      </c>
      <c r="F109">
        <v>580.325771343008</v>
      </c>
      <c r="G109">
        <v>27.9924953245959</v>
      </c>
      <c r="H109">
        <v>35.472813679255097</v>
      </c>
      <c r="I109">
        <v>0.78912531657916296</v>
      </c>
      <c r="J109">
        <v>0.430226191085192</v>
      </c>
      <c r="K109" s="2">
        <f t="shared" si="1"/>
        <v>99.380102711595896</v>
      </c>
    </row>
    <row r="110" spans="1:11" x14ac:dyDescent="0.35">
      <c r="A110">
        <v>109</v>
      </c>
      <c r="B110">
        <v>109</v>
      </c>
      <c r="C110">
        <v>1500</v>
      </c>
      <c r="D110" t="s">
        <v>9</v>
      </c>
      <c r="E110">
        <v>372.99445983379502</v>
      </c>
      <c r="F110">
        <v>505.27022744585798</v>
      </c>
      <c r="G110">
        <v>-7.98289171040184</v>
      </c>
      <c r="H110">
        <v>26.918494085826101</v>
      </c>
      <c r="I110">
        <v>-0.29655788637170499</v>
      </c>
      <c r="J110">
        <v>0.76684517707443001</v>
      </c>
      <c r="K110" s="2">
        <f t="shared" si="1"/>
        <v>75.414449253439116</v>
      </c>
    </row>
    <row r="111" spans="1:11" x14ac:dyDescent="0.35">
      <c r="A111">
        <v>110</v>
      </c>
      <c r="B111">
        <v>110</v>
      </c>
      <c r="C111">
        <v>2000</v>
      </c>
      <c r="D111" t="s">
        <v>9</v>
      </c>
      <c r="E111">
        <v>359.41439688716002</v>
      </c>
      <c r="F111">
        <v>436.159535799536</v>
      </c>
      <c r="G111">
        <v>26.770788298026002</v>
      </c>
      <c r="H111">
        <v>23.2018868245334</v>
      </c>
      <c r="I111">
        <v>1.15381945013708</v>
      </c>
      <c r="J111">
        <v>0.24871219676378101</v>
      </c>
      <c r="K111" s="2">
        <f t="shared" si="1"/>
        <v>65.002058099310403</v>
      </c>
    </row>
    <row r="112" spans="1:11" x14ac:dyDescent="0.35">
      <c r="A112">
        <v>111</v>
      </c>
      <c r="B112">
        <v>111</v>
      </c>
      <c r="C112">
        <v>2500</v>
      </c>
      <c r="D112" t="s">
        <v>9</v>
      </c>
      <c r="E112">
        <v>373.53883495145601</v>
      </c>
      <c r="F112">
        <v>541.22493033051705</v>
      </c>
      <c r="G112">
        <v>-7.2010184957599304</v>
      </c>
      <c r="H112">
        <v>20.503420456155599</v>
      </c>
      <c r="I112">
        <v>-0.35121059489359502</v>
      </c>
      <c r="J112">
        <v>0.72545998058595496</v>
      </c>
      <c r="K112" s="2">
        <f t="shared" si="1"/>
        <v>57.442075198658685</v>
      </c>
    </row>
    <row r="113" spans="1:11" x14ac:dyDescent="0.35">
      <c r="A113">
        <v>112</v>
      </c>
      <c r="B113">
        <v>112</v>
      </c>
      <c r="C113">
        <v>3000</v>
      </c>
      <c r="D113" t="s">
        <v>9</v>
      </c>
      <c r="E113">
        <v>354.01171605789102</v>
      </c>
      <c r="F113">
        <v>457.36628858236202</v>
      </c>
      <c r="G113">
        <v>24.2297300363626</v>
      </c>
      <c r="H113">
        <v>18.160676824310599</v>
      </c>
      <c r="I113">
        <v>1.3341865102696899</v>
      </c>
      <c r="J113">
        <v>0.18224407150736699</v>
      </c>
      <c r="K113" s="2">
        <f t="shared" si="1"/>
        <v>50.878679780836215</v>
      </c>
    </row>
    <row r="114" spans="1:11" x14ac:dyDescent="0.35">
      <c r="A114">
        <v>113</v>
      </c>
      <c r="B114">
        <v>113</v>
      </c>
      <c r="C114">
        <v>3500</v>
      </c>
      <c r="D114" t="s">
        <v>9</v>
      </c>
      <c r="E114">
        <v>361.963302752294</v>
      </c>
      <c r="F114">
        <v>505.88322112932502</v>
      </c>
      <c r="G114">
        <v>17.2308885916698</v>
      </c>
      <c r="H114">
        <v>17.122408439473499</v>
      </c>
      <c r="I114">
        <v>1.0063355662014299</v>
      </c>
      <c r="J114">
        <v>0.31432378315071102</v>
      </c>
      <c r="K114" s="2">
        <f t="shared" si="1"/>
        <v>47.969882647902367</v>
      </c>
    </row>
    <row r="115" spans="1:11" x14ac:dyDescent="0.35">
      <c r="A115">
        <v>114</v>
      </c>
      <c r="B115">
        <v>114</v>
      </c>
      <c r="C115">
        <v>4000</v>
      </c>
      <c r="D115" t="s">
        <v>9</v>
      </c>
      <c r="E115">
        <v>376.61711942593502</v>
      </c>
      <c r="F115">
        <v>508.80366320051399</v>
      </c>
      <c r="G115">
        <v>-14.084176526960301</v>
      </c>
      <c r="H115">
        <v>15.772086935974</v>
      </c>
      <c r="I115">
        <v>-0.892981162488792</v>
      </c>
      <c r="J115">
        <v>0.37192100667154199</v>
      </c>
      <c r="K115" s="2">
        <f t="shared" si="1"/>
        <v>44.18684217852072</v>
      </c>
    </row>
    <row r="116" spans="1:11" x14ac:dyDescent="0.35">
      <c r="A116">
        <v>115</v>
      </c>
      <c r="B116">
        <v>115</v>
      </c>
      <c r="C116">
        <v>4500</v>
      </c>
      <c r="D116" t="s">
        <v>9</v>
      </c>
      <c r="E116">
        <v>373.66920322291901</v>
      </c>
      <c r="F116">
        <v>505.56458866298999</v>
      </c>
      <c r="G116">
        <v>-13.2874733023533</v>
      </c>
      <c r="H116">
        <v>14.754271438881601</v>
      </c>
      <c r="I116">
        <v>-0.90058484808251205</v>
      </c>
      <c r="J116">
        <v>0.36785730804417299</v>
      </c>
      <c r="K116" s="2">
        <f t="shared" si="1"/>
        <v>41.33534554909911</v>
      </c>
    </row>
    <row r="117" spans="1:11" x14ac:dyDescent="0.35">
      <c r="A117">
        <v>116</v>
      </c>
      <c r="B117">
        <v>116</v>
      </c>
      <c r="C117">
        <v>5000</v>
      </c>
      <c r="D117" t="s">
        <v>9</v>
      </c>
      <c r="E117">
        <v>369.52712871287099</v>
      </c>
      <c r="F117">
        <v>495.05122891662</v>
      </c>
      <c r="G117">
        <v>-12.3614721472144</v>
      </c>
      <c r="H117">
        <v>13.7134922495909</v>
      </c>
      <c r="I117">
        <v>-0.90140949673728799</v>
      </c>
      <c r="J117">
        <v>0.36741406819670902</v>
      </c>
      <c r="K117" s="2">
        <f t="shared" si="1"/>
        <v>38.419514184070124</v>
      </c>
    </row>
    <row r="118" spans="1:11" x14ac:dyDescent="0.35">
      <c r="A118">
        <v>117</v>
      </c>
      <c r="B118">
        <v>117</v>
      </c>
      <c r="C118">
        <v>5500</v>
      </c>
      <c r="D118" t="s">
        <v>9</v>
      </c>
      <c r="E118">
        <v>367.52401589021298</v>
      </c>
      <c r="F118">
        <v>503.00556292565602</v>
      </c>
      <c r="G118">
        <v>0.98458901641477903</v>
      </c>
      <c r="H118">
        <v>13.2718781545101</v>
      </c>
      <c r="I118">
        <v>7.4186110281625403E-2</v>
      </c>
      <c r="J118">
        <v>0.94086499662075995</v>
      </c>
      <c r="K118" s="2">
        <f t="shared" si="1"/>
        <v>37.182294759503179</v>
      </c>
    </row>
    <row r="119" spans="1:11" x14ac:dyDescent="0.35">
      <c r="A119">
        <v>118</v>
      </c>
      <c r="B119">
        <v>118</v>
      </c>
      <c r="C119">
        <v>6000</v>
      </c>
      <c r="D119" t="s">
        <v>9</v>
      </c>
      <c r="E119">
        <v>367.02918739635197</v>
      </c>
      <c r="F119">
        <v>478.93600050369002</v>
      </c>
      <c r="G119">
        <v>10.901465869981299</v>
      </c>
      <c r="H119">
        <v>12.9655501182172</v>
      </c>
      <c r="I119">
        <v>0.84080241644851095</v>
      </c>
      <c r="J119">
        <v>0.400492149809136</v>
      </c>
      <c r="K119" s="2">
        <f t="shared" si="1"/>
        <v>36.324090727945539</v>
      </c>
    </row>
    <row r="120" spans="1:11" x14ac:dyDescent="0.35">
      <c r="A120">
        <v>119</v>
      </c>
      <c r="B120">
        <v>119</v>
      </c>
      <c r="C120">
        <v>6500</v>
      </c>
      <c r="D120" t="s">
        <v>9</v>
      </c>
      <c r="E120">
        <v>367.91010194624698</v>
      </c>
      <c r="F120">
        <v>506.38571487045903</v>
      </c>
      <c r="G120">
        <v>10.108592506712</v>
      </c>
      <c r="H120">
        <v>12.4032452038398</v>
      </c>
      <c r="I120">
        <v>0.81499578058673305</v>
      </c>
      <c r="J120">
        <v>0.41510459416557799</v>
      </c>
      <c r="K120" s="2">
        <f t="shared" si="1"/>
        <v>34.748745714399533</v>
      </c>
    </row>
    <row r="121" spans="1:11" x14ac:dyDescent="0.35">
      <c r="A121">
        <v>120</v>
      </c>
      <c r="B121">
        <v>120</v>
      </c>
      <c r="C121">
        <v>7000</v>
      </c>
      <c r="D121" t="s">
        <v>9</v>
      </c>
      <c r="E121">
        <v>366.41113003974999</v>
      </c>
      <c r="F121">
        <v>485.27800957085202</v>
      </c>
      <c r="G121">
        <v>10.4154944570871</v>
      </c>
      <c r="H121">
        <v>11.8447878609167</v>
      </c>
      <c r="I121">
        <v>0.87933144767026505</v>
      </c>
      <c r="J121">
        <v>0.37925178246076802</v>
      </c>
      <c r="K121" s="2">
        <f t="shared" si="1"/>
        <v>33.184179999326318</v>
      </c>
    </row>
    <row r="122" spans="1:11" x14ac:dyDescent="0.35">
      <c r="A122">
        <v>121</v>
      </c>
      <c r="B122">
        <v>121</v>
      </c>
      <c r="C122">
        <v>7500</v>
      </c>
      <c r="D122" t="s">
        <v>9</v>
      </c>
      <c r="E122">
        <v>358.74151296444802</v>
      </c>
      <c r="F122">
        <v>453.83447447875801</v>
      </c>
      <c r="G122">
        <v>22.0602960273044</v>
      </c>
      <c r="H122">
        <v>11.3657918899629</v>
      </c>
      <c r="I122">
        <v>1.9409378810451201</v>
      </c>
      <c r="J122">
        <v>5.2303239731035303E-2</v>
      </c>
      <c r="K122" s="2">
        <f t="shared" si="1"/>
        <v>31.842232072041714</v>
      </c>
    </row>
    <row r="123" spans="1:11" x14ac:dyDescent="0.35">
      <c r="A123">
        <v>122</v>
      </c>
      <c r="B123">
        <v>122</v>
      </c>
      <c r="C123">
        <v>8000</v>
      </c>
      <c r="D123" t="s">
        <v>9</v>
      </c>
      <c r="E123">
        <v>371.05116629044397</v>
      </c>
      <c r="F123">
        <v>503.30687978992802</v>
      </c>
      <c r="G123">
        <v>-0.27319469811825697</v>
      </c>
      <c r="H123">
        <v>11.092277194513899</v>
      </c>
      <c r="I123">
        <v>-2.4629270737425699E-2</v>
      </c>
      <c r="J123">
        <v>0.98035128613891098</v>
      </c>
      <c r="K123" s="2">
        <f t="shared" si="1"/>
        <v>31.075957403992224</v>
      </c>
    </row>
    <row r="124" spans="1:11" x14ac:dyDescent="0.35">
      <c r="A124">
        <v>123</v>
      </c>
      <c r="B124">
        <v>123</v>
      </c>
      <c r="C124">
        <v>8500</v>
      </c>
      <c r="D124" t="s">
        <v>9</v>
      </c>
      <c r="E124">
        <v>382.54019217248702</v>
      </c>
      <c r="F124">
        <v>519.39998693383995</v>
      </c>
      <c r="G124">
        <v>-22.3589968027709</v>
      </c>
      <c r="H124">
        <v>10.7816244173285</v>
      </c>
      <c r="I124">
        <v>-2.0738059440129399</v>
      </c>
      <c r="J124">
        <v>3.8127385051748001E-2</v>
      </c>
      <c r="K124" s="2">
        <f t="shared" si="1"/>
        <v>30.205637243221268</v>
      </c>
    </row>
    <row r="125" spans="1:11" x14ac:dyDescent="0.35">
      <c r="A125">
        <v>124</v>
      </c>
      <c r="B125">
        <v>124</v>
      </c>
      <c r="C125">
        <v>9000</v>
      </c>
      <c r="D125" t="s">
        <v>9</v>
      </c>
      <c r="E125">
        <v>375.91510277033098</v>
      </c>
      <c r="F125">
        <v>510.91608287523098</v>
      </c>
      <c r="G125">
        <v>-13.1476403476972</v>
      </c>
      <c r="H125">
        <v>10.4052014400083</v>
      </c>
      <c r="I125">
        <v>-1.2635642302074199</v>
      </c>
      <c r="J125">
        <v>0.20641921516269299</v>
      </c>
      <c r="K125" s="2">
        <f t="shared" si="1"/>
        <v>29.151056276305656</v>
      </c>
    </row>
    <row r="126" spans="1:11" x14ac:dyDescent="0.35">
      <c r="A126">
        <v>125</v>
      </c>
      <c r="B126">
        <v>125</v>
      </c>
      <c r="C126">
        <v>9500</v>
      </c>
      <c r="D126" t="s">
        <v>9</v>
      </c>
      <c r="E126">
        <v>368.91757420456997</v>
      </c>
      <c r="F126">
        <v>502.98602262311101</v>
      </c>
      <c r="G126">
        <v>-6.1882821140570803</v>
      </c>
      <c r="H126">
        <v>10.0222963072575</v>
      </c>
      <c r="I126">
        <v>-0.61745152251943802</v>
      </c>
      <c r="J126">
        <v>0.53695174941531298</v>
      </c>
      <c r="K126" s="2">
        <f t="shared" si="1"/>
        <v>28.078314999968004</v>
      </c>
    </row>
    <row r="127" spans="1:11" x14ac:dyDescent="0.35">
      <c r="A127">
        <v>126</v>
      </c>
      <c r="B127">
        <v>126</v>
      </c>
      <c r="C127">
        <v>10000</v>
      </c>
      <c r="D127" t="s">
        <v>9</v>
      </c>
      <c r="E127">
        <v>357.34618441971401</v>
      </c>
      <c r="F127">
        <v>452.11409206684402</v>
      </c>
      <c r="G127">
        <v>15.034250362894699</v>
      </c>
      <c r="H127">
        <v>9.7766251135887607</v>
      </c>
      <c r="I127">
        <v>1.5377750694355901</v>
      </c>
      <c r="J127">
        <v>0.12413526632970601</v>
      </c>
      <c r="K127" s="2">
        <f t="shared" si="1"/>
        <v>27.39004626885357</v>
      </c>
    </row>
    <row r="128" spans="1:11" x14ac:dyDescent="0.35">
      <c r="A128">
        <v>127</v>
      </c>
      <c r="B128">
        <v>127</v>
      </c>
      <c r="C128">
        <v>10500</v>
      </c>
      <c r="D128" t="s">
        <v>9</v>
      </c>
      <c r="E128">
        <v>364.18228473674202</v>
      </c>
      <c r="F128">
        <v>486.57318219655099</v>
      </c>
      <c r="G128">
        <v>1.4848273075404801</v>
      </c>
      <c r="H128">
        <v>9.4916226936967494</v>
      </c>
      <c r="I128">
        <v>0.156435559593676</v>
      </c>
      <c r="J128">
        <v>0.87569271777997904</v>
      </c>
      <c r="K128" s="2">
        <f t="shared" si="1"/>
        <v>26.591587764320408</v>
      </c>
    </row>
    <row r="129" spans="1:11" x14ac:dyDescent="0.35">
      <c r="A129">
        <v>128</v>
      </c>
      <c r="B129">
        <v>128</v>
      </c>
      <c r="C129">
        <v>11000</v>
      </c>
      <c r="D129" t="s">
        <v>9</v>
      </c>
      <c r="E129">
        <v>364.07867834976298</v>
      </c>
      <c r="F129">
        <v>474.25828564847598</v>
      </c>
      <c r="G129">
        <v>3.3695288215513801</v>
      </c>
      <c r="H129">
        <v>9.2478881274325708</v>
      </c>
      <c r="I129">
        <v>0.36435657256234999</v>
      </c>
      <c r="J129">
        <v>0.71559876478093098</v>
      </c>
      <c r="K129" s="2">
        <f t="shared" si="1"/>
        <v>25.908744659493181</v>
      </c>
    </row>
    <row r="130" spans="1:11" x14ac:dyDescent="0.35">
      <c r="A130">
        <v>129</v>
      </c>
      <c r="B130">
        <v>129</v>
      </c>
      <c r="C130">
        <v>11500</v>
      </c>
      <c r="D130" t="s">
        <v>9</v>
      </c>
      <c r="E130">
        <v>358.63711231820599</v>
      </c>
      <c r="F130">
        <v>472.61675098936098</v>
      </c>
      <c r="G130">
        <v>16.690179240574899</v>
      </c>
      <c r="H130">
        <v>9.0353165743535797</v>
      </c>
      <c r="I130">
        <v>1.8472157675082901</v>
      </c>
      <c r="J130">
        <v>6.4741548640738805E-2</v>
      </c>
      <c r="K130" s="2">
        <f t="shared" si="1"/>
        <v>25.313207384960375</v>
      </c>
    </row>
    <row r="131" spans="1:11" x14ac:dyDescent="0.35">
      <c r="A131">
        <v>130</v>
      </c>
      <c r="B131">
        <v>130</v>
      </c>
      <c r="C131">
        <v>12000</v>
      </c>
      <c r="D131" t="s">
        <v>9</v>
      </c>
      <c r="E131">
        <v>368.17828174143398</v>
      </c>
      <c r="F131">
        <v>480.53370801106303</v>
      </c>
      <c r="G131">
        <v>0.62705472441725796</v>
      </c>
      <c r="H131">
        <v>8.9139743369270708</v>
      </c>
      <c r="I131">
        <v>7.0345134584875194E-2</v>
      </c>
      <c r="J131">
        <v>0.94392013163952104</v>
      </c>
      <c r="K131" s="2">
        <f t="shared" ref="K131:K194" si="2">H131*2.801585</f>
        <v>24.97325679271983</v>
      </c>
    </row>
    <row r="132" spans="1:11" x14ac:dyDescent="0.35">
      <c r="A132">
        <v>131</v>
      </c>
      <c r="B132">
        <v>131</v>
      </c>
      <c r="C132">
        <v>12500</v>
      </c>
      <c r="D132" t="s">
        <v>9</v>
      </c>
      <c r="E132">
        <v>361.70317909978002</v>
      </c>
      <c r="F132">
        <v>502.11422894918502</v>
      </c>
      <c r="G132">
        <v>15.6103581602273</v>
      </c>
      <c r="H132">
        <v>8.8334379569392905</v>
      </c>
      <c r="I132">
        <v>1.76718942684872</v>
      </c>
      <c r="J132">
        <v>7.7220909900917595E-2</v>
      </c>
      <c r="K132" s="2">
        <f t="shared" si="2"/>
        <v>24.747627278591764</v>
      </c>
    </row>
    <row r="133" spans="1:11" x14ac:dyDescent="0.35">
      <c r="A133">
        <v>132</v>
      </c>
      <c r="B133">
        <v>132</v>
      </c>
      <c r="C133">
        <v>13000</v>
      </c>
      <c r="D133" t="s">
        <v>9</v>
      </c>
      <c r="E133">
        <v>371.357197844496</v>
      </c>
      <c r="F133">
        <v>507.92373661866299</v>
      </c>
      <c r="G133">
        <v>-1.68433081913135</v>
      </c>
      <c r="H133">
        <v>8.6745232087508395</v>
      </c>
      <c r="I133">
        <v>-0.19416984410534499</v>
      </c>
      <c r="J133">
        <v>0.84604592875854201</v>
      </c>
      <c r="K133" s="2">
        <f t="shared" si="2"/>
        <v>24.302414103788223</v>
      </c>
    </row>
    <row r="134" spans="1:11" x14ac:dyDescent="0.35">
      <c r="A134">
        <v>133</v>
      </c>
      <c r="B134">
        <v>133</v>
      </c>
      <c r="C134">
        <v>13500</v>
      </c>
      <c r="D134" t="s">
        <v>9</v>
      </c>
      <c r="E134">
        <v>366.08673845700002</v>
      </c>
      <c r="F134">
        <v>485.36070536321699</v>
      </c>
      <c r="G134">
        <v>8.9994094376598905</v>
      </c>
      <c r="H134">
        <v>8.4836898300444599</v>
      </c>
      <c r="I134">
        <v>1.0607895406299599</v>
      </c>
      <c r="J134">
        <v>0.28880453660085198</v>
      </c>
      <c r="K134" s="2">
        <f t="shared" si="2"/>
        <v>23.76777817250511</v>
      </c>
    </row>
    <row r="135" spans="1:11" x14ac:dyDescent="0.35">
      <c r="A135">
        <v>134</v>
      </c>
      <c r="B135">
        <v>134</v>
      </c>
      <c r="C135">
        <v>14000</v>
      </c>
      <c r="D135" t="s">
        <v>9</v>
      </c>
      <c r="E135">
        <v>372.95116742596798</v>
      </c>
      <c r="F135">
        <v>498.780831762145</v>
      </c>
      <c r="G135">
        <v>-2.9412763709221101</v>
      </c>
      <c r="H135">
        <v>8.3801478755993699</v>
      </c>
      <c r="I135">
        <v>-0.35098144025432698</v>
      </c>
      <c r="J135">
        <v>0.72560755427034496</v>
      </c>
      <c r="K135" s="2">
        <f t="shared" si="2"/>
        <v>23.477696586061061</v>
      </c>
    </row>
    <row r="136" spans="1:11" x14ac:dyDescent="0.35">
      <c r="A136">
        <v>135</v>
      </c>
      <c r="B136">
        <v>135</v>
      </c>
      <c r="C136">
        <v>1000</v>
      </c>
      <c r="D136" t="s">
        <v>9</v>
      </c>
      <c r="E136">
        <v>387.44933078393899</v>
      </c>
      <c r="F136">
        <v>665.28799025354795</v>
      </c>
      <c r="G136">
        <v>-40.778471245154797</v>
      </c>
      <c r="H136">
        <v>34.6595253512521</v>
      </c>
      <c r="I136">
        <v>-1.17654442269163</v>
      </c>
      <c r="J136">
        <v>0.23965793928867299</v>
      </c>
      <c r="K136" s="2">
        <f t="shared" si="2"/>
        <v>97.101606331187625</v>
      </c>
    </row>
    <row r="137" spans="1:11" x14ac:dyDescent="0.35">
      <c r="A137">
        <v>136</v>
      </c>
      <c r="B137">
        <v>136</v>
      </c>
      <c r="C137">
        <v>1500</v>
      </c>
      <c r="D137" t="s">
        <v>9</v>
      </c>
      <c r="E137">
        <v>358.15159944367201</v>
      </c>
      <c r="F137">
        <v>475.02902781214499</v>
      </c>
      <c r="G137">
        <v>20.555186727902701</v>
      </c>
      <c r="H137">
        <v>26.7950604137963</v>
      </c>
      <c r="I137">
        <v>0.76712597062551302</v>
      </c>
      <c r="J137">
        <v>0.443127506825918</v>
      </c>
      <c r="K137" s="2">
        <f t="shared" si="2"/>
        <v>75.068639329385519</v>
      </c>
    </row>
    <row r="138" spans="1:11" x14ac:dyDescent="0.35">
      <c r="A138">
        <v>137</v>
      </c>
      <c r="B138">
        <v>137</v>
      </c>
      <c r="C138">
        <v>2000</v>
      </c>
      <c r="D138" t="s">
        <v>9</v>
      </c>
      <c r="E138">
        <v>382.47690763052202</v>
      </c>
      <c r="F138">
        <v>562.32567725954198</v>
      </c>
      <c r="G138">
        <v>-20.023720379526601</v>
      </c>
      <c r="H138">
        <v>23.028965339873</v>
      </c>
      <c r="I138">
        <v>-0.86950152054191199</v>
      </c>
      <c r="J138">
        <v>0.38467731706590702</v>
      </c>
      <c r="K138" s="2">
        <f t="shared" si="2"/>
        <v>64.51760386170811</v>
      </c>
    </row>
    <row r="139" spans="1:11" x14ac:dyDescent="0.35">
      <c r="A139">
        <v>138</v>
      </c>
      <c r="B139">
        <v>138</v>
      </c>
      <c r="C139">
        <v>2500</v>
      </c>
      <c r="D139" t="s">
        <v>9</v>
      </c>
      <c r="E139">
        <v>382.07428115016</v>
      </c>
      <c r="F139">
        <v>554.04388812575701</v>
      </c>
      <c r="G139">
        <v>-24.391588842466899</v>
      </c>
      <c r="H139">
        <v>20.4642072654587</v>
      </c>
      <c r="I139">
        <v>-1.1919146696504199</v>
      </c>
      <c r="J139">
        <v>0.23340792661098</v>
      </c>
      <c r="K139" s="2">
        <f t="shared" si="2"/>
        <v>57.332216111800115</v>
      </c>
    </row>
    <row r="140" spans="1:11" x14ac:dyDescent="0.35">
      <c r="A140">
        <v>139</v>
      </c>
      <c r="B140">
        <v>139</v>
      </c>
      <c r="C140">
        <v>3000</v>
      </c>
      <c r="D140" t="s">
        <v>9</v>
      </c>
      <c r="E140">
        <v>374.35210355987101</v>
      </c>
      <c r="F140">
        <v>523.67062660186002</v>
      </c>
      <c r="G140">
        <v>-16.143856137190099</v>
      </c>
      <c r="H140">
        <v>18.199762670147599</v>
      </c>
      <c r="I140">
        <v>-0.88703662953090201</v>
      </c>
      <c r="J140">
        <v>0.37513033110676902</v>
      </c>
      <c r="K140" s="2">
        <f t="shared" si="2"/>
        <v>50.988182100245467</v>
      </c>
    </row>
    <row r="141" spans="1:11" x14ac:dyDescent="0.35">
      <c r="A141">
        <v>140</v>
      </c>
      <c r="B141">
        <v>140</v>
      </c>
      <c r="C141">
        <v>3500</v>
      </c>
      <c r="D141" t="s">
        <v>9</v>
      </c>
      <c r="E141">
        <v>365.27027027026998</v>
      </c>
      <c r="F141">
        <v>478.73672886627099</v>
      </c>
      <c r="G141">
        <v>10.609343585494299</v>
      </c>
      <c r="H141">
        <v>17.112919121309801</v>
      </c>
      <c r="I141">
        <v>0.61996106627320302</v>
      </c>
      <c r="J141">
        <v>0.53532380203501895</v>
      </c>
      <c r="K141" s="2">
        <f t="shared" si="2"/>
        <v>47.943297516474722</v>
      </c>
    </row>
    <row r="142" spans="1:11" x14ac:dyDescent="0.35">
      <c r="A142">
        <v>141</v>
      </c>
      <c r="B142">
        <v>141</v>
      </c>
      <c r="C142">
        <v>4000</v>
      </c>
      <c r="D142" t="s">
        <v>9</v>
      </c>
      <c r="E142">
        <v>371.2885</v>
      </c>
      <c r="F142">
        <v>490.133663169177</v>
      </c>
      <c r="G142">
        <v>-3.7720000000005398</v>
      </c>
      <c r="H142">
        <v>15.7522243520293</v>
      </c>
      <c r="I142">
        <v>-0.239458245115371</v>
      </c>
      <c r="J142">
        <v>0.810762545133484</v>
      </c>
      <c r="K142" s="2">
        <f t="shared" si="2"/>
        <v>44.131195461280008</v>
      </c>
    </row>
    <row r="143" spans="1:11" x14ac:dyDescent="0.35">
      <c r="A143">
        <v>142</v>
      </c>
      <c r="B143">
        <v>142</v>
      </c>
      <c r="C143">
        <v>4500</v>
      </c>
      <c r="D143" t="s">
        <v>9</v>
      </c>
      <c r="E143">
        <v>362.51994621246098</v>
      </c>
      <c r="F143">
        <v>491.55809334311499</v>
      </c>
      <c r="G143">
        <v>8.8418871943262598</v>
      </c>
      <c r="H143">
        <v>14.748968931425299</v>
      </c>
      <c r="I143">
        <v>0.59949188553018296</v>
      </c>
      <c r="J143">
        <v>0.54887511431739699</v>
      </c>
      <c r="K143" s="2">
        <f t="shared" si="2"/>
        <v>41.320490123747149</v>
      </c>
    </row>
    <row r="144" spans="1:11" x14ac:dyDescent="0.35">
      <c r="A144">
        <v>143</v>
      </c>
      <c r="B144">
        <v>143</v>
      </c>
      <c r="C144">
        <v>5000</v>
      </c>
      <c r="D144" t="s">
        <v>9</v>
      </c>
      <c r="E144">
        <v>361.036202735318</v>
      </c>
      <c r="F144">
        <v>506.51889028345801</v>
      </c>
      <c r="G144">
        <v>4.7175761031862304</v>
      </c>
      <c r="H144">
        <v>13.726765092510499</v>
      </c>
      <c r="I144">
        <v>0.34367719352611298</v>
      </c>
      <c r="J144">
        <v>0.73110352091775299</v>
      </c>
      <c r="K144" s="2">
        <f t="shared" si="2"/>
        <v>38.456699181701026</v>
      </c>
    </row>
    <row r="145" spans="1:11" x14ac:dyDescent="0.35">
      <c r="A145">
        <v>144</v>
      </c>
      <c r="B145">
        <v>144</v>
      </c>
      <c r="C145">
        <v>5500</v>
      </c>
      <c r="D145" t="s">
        <v>9</v>
      </c>
      <c r="E145">
        <v>374.80702402957502</v>
      </c>
      <c r="F145">
        <v>507.23391429555602</v>
      </c>
      <c r="G145">
        <v>-13.3694569454959</v>
      </c>
      <c r="H145">
        <v>13.289539996669101</v>
      </c>
      <c r="I145">
        <v>-1.0060135225784199</v>
      </c>
      <c r="J145">
        <v>0.31445333775184298</v>
      </c>
      <c r="K145" s="2">
        <f t="shared" si="2"/>
        <v>37.231775911568207</v>
      </c>
    </row>
    <row r="146" spans="1:11" x14ac:dyDescent="0.35">
      <c r="A146">
        <v>145</v>
      </c>
      <c r="B146">
        <v>145</v>
      </c>
      <c r="C146">
        <v>6000</v>
      </c>
      <c r="D146" t="s">
        <v>9</v>
      </c>
      <c r="E146">
        <v>381.27323850479701</v>
      </c>
      <c r="F146">
        <v>528.01274047592403</v>
      </c>
      <c r="G146">
        <v>-17.777437362707399</v>
      </c>
      <c r="H146">
        <v>12.947945414583</v>
      </c>
      <c r="I146">
        <v>-1.37299291845061</v>
      </c>
      <c r="J146">
        <v>0.169805874497302</v>
      </c>
      <c r="K146" s="2">
        <f t="shared" si="2"/>
        <v>36.274769654314518</v>
      </c>
    </row>
    <row r="147" spans="1:11" x14ac:dyDescent="0.35">
      <c r="A147">
        <v>146</v>
      </c>
      <c r="B147">
        <v>146</v>
      </c>
      <c r="C147">
        <v>6500</v>
      </c>
      <c r="D147" t="s">
        <v>9</v>
      </c>
      <c r="E147">
        <v>379.37041564792202</v>
      </c>
      <c r="F147">
        <v>513.65049643150098</v>
      </c>
      <c r="G147">
        <v>-12.858643652877999</v>
      </c>
      <c r="H147">
        <v>12.3970019392704</v>
      </c>
      <c r="I147">
        <v>-1.0372381738640599</v>
      </c>
      <c r="J147">
        <v>0.299663467209005</v>
      </c>
      <c r="K147" s="2">
        <f t="shared" si="2"/>
        <v>34.731254678030865</v>
      </c>
    </row>
    <row r="148" spans="1:11" x14ac:dyDescent="0.35">
      <c r="A148">
        <v>147</v>
      </c>
      <c r="B148">
        <v>147</v>
      </c>
      <c r="C148">
        <v>7000</v>
      </c>
      <c r="D148" t="s">
        <v>9</v>
      </c>
      <c r="E148">
        <v>373.60313702278802</v>
      </c>
      <c r="F148">
        <v>500.48669409592299</v>
      </c>
      <c r="G148">
        <v>-3.8991878374806102</v>
      </c>
      <c r="H148">
        <v>11.8575058631783</v>
      </c>
      <c r="I148">
        <v>-0.32883709967953301</v>
      </c>
      <c r="J148">
        <v>0.74228865947812905</v>
      </c>
      <c r="K148" s="2">
        <f t="shared" si="2"/>
        <v>33.219810563692377</v>
      </c>
    </row>
    <row r="149" spans="1:11" x14ac:dyDescent="0.35">
      <c r="A149">
        <v>148</v>
      </c>
      <c r="B149">
        <v>148</v>
      </c>
      <c r="C149">
        <v>7500</v>
      </c>
      <c r="D149" t="s">
        <v>9</v>
      </c>
      <c r="E149">
        <v>365.41252302025799</v>
      </c>
      <c r="F149">
        <v>486.117468791428</v>
      </c>
      <c r="G149">
        <v>8.8921539194563497</v>
      </c>
      <c r="H149">
        <v>11.3772442490502</v>
      </c>
      <c r="I149">
        <v>0.78157361526264602</v>
      </c>
      <c r="J149">
        <v>0.43448987563547598</v>
      </c>
      <c r="K149" s="2">
        <f t="shared" si="2"/>
        <v>31.874316829475308</v>
      </c>
    </row>
    <row r="150" spans="1:11" x14ac:dyDescent="0.35">
      <c r="A150">
        <v>149</v>
      </c>
      <c r="B150">
        <v>149</v>
      </c>
      <c r="C150">
        <v>8000</v>
      </c>
      <c r="D150" t="s">
        <v>9</v>
      </c>
      <c r="E150">
        <v>363.17996520009899</v>
      </c>
      <c r="F150">
        <v>499.09779560086599</v>
      </c>
      <c r="G150">
        <v>15.557776816498</v>
      </c>
      <c r="H150">
        <v>11.0891303460361</v>
      </c>
      <c r="I150">
        <v>1.4029753759779</v>
      </c>
      <c r="J150">
        <v>0.16066299961373001</v>
      </c>
      <c r="K150" s="2">
        <f t="shared" si="2"/>
        <v>31.067141240499549</v>
      </c>
    </row>
    <row r="151" spans="1:11" x14ac:dyDescent="0.35">
      <c r="A151">
        <v>150</v>
      </c>
      <c r="B151">
        <v>150</v>
      </c>
      <c r="C151">
        <v>8500</v>
      </c>
      <c r="D151" t="s">
        <v>9</v>
      </c>
      <c r="E151">
        <v>369.66935675290802</v>
      </c>
      <c r="F151">
        <v>505.16198741253299</v>
      </c>
      <c r="G151">
        <v>3.4421431304612899</v>
      </c>
      <c r="H151">
        <v>10.791566001953599</v>
      </c>
      <c r="I151">
        <v>0.31896604532077599</v>
      </c>
      <c r="J151">
        <v>0.74976010034761698</v>
      </c>
      <c r="K151" s="2">
        <f t="shared" si="2"/>
        <v>30.233489437583177</v>
      </c>
    </row>
    <row r="152" spans="1:11" x14ac:dyDescent="0.35">
      <c r="A152">
        <v>151</v>
      </c>
      <c r="B152">
        <v>151</v>
      </c>
      <c r="C152">
        <v>9000</v>
      </c>
      <c r="D152" t="s">
        <v>9</v>
      </c>
      <c r="E152">
        <v>367.69921787709501</v>
      </c>
      <c r="F152">
        <v>478.80820863760601</v>
      </c>
      <c r="G152">
        <v>3.1962517361642102</v>
      </c>
      <c r="H152">
        <v>10.3987345483125</v>
      </c>
      <c r="I152">
        <v>0.30736929780392402</v>
      </c>
      <c r="J152">
        <v>0.75856940804389705</v>
      </c>
      <c r="K152" s="2">
        <f t="shared" si="2"/>
        <v>29.132938729534079</v>
      </c>
    </row>
    <row r="153" spans="1:11" x14ac:dyDescent="0.35">
      <c r="A153">
        <v>152</v>
      </c>
      <c r="B153">
        <v>152</v>
      </c>
      <c r="C153">
        <v>9500</v>
      </c>
      <c r="D153" t="s">
        <v>9</v>
      </c>
      <c r="E153">
        <v>369.82413570968401</v>
      </c>
      <c r="F153">
        <v>508.70614018644397</v>
      </c>
      <c r="G153">
        <v>-7.9333655259142803</v>
      </c>
      <c r="H153">
        <v>10.031092289835801</v>
      </c>
      <c r="I153">
        <v>-0.79087753324261001</v>
      </c>
      <c r="J153">
        <v>0.42903520727420602</v>
      </c>
      <c r="K153" s="2">
        <f t="shared" si="2"/>
        <v>28.102957692819633</v>
      </c>
    </row>
    <row r="154" spans="1:11" x14ac:dyDescent="0.35">
      <c r="A154">
        <v>153</v>
      </c>
      <c r="B154">
        <v>153</v>
      </c>
      <c r="C154">
        <v>10000</v>
      </c>
      <c r="D154" t="s">
        <v>9</v>
      </c>
      <c r="E154">
        <v>358.88924687877602</v>
      </c>
      <c r="F154">
        <v>484.555371005366</v>
      </c>
      <c r="G154">
        <v>11.7718576106963</v>
      </c>
      <c r="H154">
        <v>9.7670961919445993</v>
      </c>
      <c r="I154">
        <v>1.20525664735494</v>
      </c>
      <c r="J154">
        <v>0.22813276543314001</v>
      </c>
      <c r="K154" s="2">
        <f t="shared" si="2"/>
        <v>27.363350184909113</v>
      </c>
    </row>
    <row r="155" spans="1:11" x14ac:dyDescent="0.35">
      <c r="A155">
        <v>154</v>
      </c>
      <c r="B155">
        <v>154</v>
      </c>
      <c r="C155">
        <v>10500</v>
      </c>
      <c r="D155" t="s">
        <v>9</v>
      </c>
      <c r="E155">
        <v>360.67289543223899</v>
      </c>
      <c r="F155">
        <v>479.56868130861801</v>
      </c>
      <c r="G155">
        <v>8.5789307884454402</v>
      </c>
      <c r="H155">
        <v>9.4940522800044302</v>
      </c>
      <c r="I155">
        <v>0.90361107516899497</v>
      </c>
      <c r="J155">
        <v>0.36622240041795401</v>
      </c>
      <c r="K155" s="2">
        <f t="shared" si="2"/>
        <v>26.598394456876214</v>
      </c>
    </row>
    <row r="156" spans="1:11" x14ac:dyDescent="0.35">
      <c r="A156">
        <v>155</v>
      </c>
      <c r="B156">
        <v>155</v>
      </c>
      <c r="C156">
        <v>11000</v>
      </c>
      <c r="D156" t="s">
        <v>9</v>
      </c>
      <c r="E156">
        <v>369.08244778307102</v>
      </c>
      <c r="F156">
        <v>492.851414659738</v>
      </c>
      <c r="G156">
        <v>-6.57432797072945</v>
      </c>
      <c r="H156">
        <v>9.2518324134170307</v>
      </c>
      <c r="I156">
        <v>-0.71059739054453097</v>
      </c>
      <c r="J156">
        <v>0.47734882859861</v>
      </c>
      <c r="K156" s="2">
        <f t="shared" si="2"/>
        <v>25.919794911942954</v>
      </c>
    </row>
    <row r="157" spans="1:11" x14ac:dyDescent="0.35">
      <c r="A157">
        <v>156</v>
      </c>
      <c r="B157">
        <v>156</v>
      </c>
      <c r="C157">
        <v>11500</v>
      </c>
      <c r="D157" t="s">
        <v>9</v>
      </c>
      <c r="E157">
        <v>366.26640464798402</v>
      </c>
      <c r="F157">
        <v>472.05157964247798</v>
      </c>
      <c r="G157">
        <v>1.5845160319034399</v>
      </c>
      <c r="H157">
        <v>9.04946910159045</v>
      </c>
      <c r="I157">
        <v>0.17509491596860199</v>
      </c>
      <c r="J157">
        <v>0.86100813610384397</v>
      </c>
      <c r="K157" s="2">
        <f t="shared" si="2"/>
        <v>25.352856892979283</v>
      </c>
    </row>
    <row r="158" spans="1:11" x14ac:dyDescent="0.35">
      <c r="A158">
        <v>157</v>
      </c>
      <c r="B158">
        <v>157</v>
      </c>
      <c r="C158">
        <v>12000</v>
      </c>
      <c r="D158" t="s">
        <v>9</v>
      </c>
      <c r="E158">
        <v>368.99063116370797</v>
      </c>
      <c r="F158">
        <v>498.93761908079102</v>
      </c>
      <c r="G158">
        <v>-1.01615516641185</v>
      </c>
      <c r="H158">
        <v>8.9070605448674307</v>
      </c>
      <c r="I158">
        <v>-0.114084232535884</v>
      </c>
      <c r="J158">
        <v>0.90917293012098499</v>
      </c>
      <c r="K158" s="2">
        <f t="shared" si="2"/>
        <v>24.953887216592424</v>
      </c>
    </row>
    <row r="159" spans="1:11" x14ac:dyDescent="0.35">
      <c r="A159">
        <v>158</v>
      </c>
      <c r="B159">
        <v>158</v>
      </c>
      <c r="C159">
        <v>12500</v>
      </c>
      <c r="D159" t="s">
        <v>9</v>
      </c>
      <c r="E159">
        <v>377.75423592060702</v>
      </c>
      <c r="F159">
        <v>502.68643457047801</v>
      </c>
      <c r="G159">
        <v>-16.6106534995372</v>
      </c>
      <c r="H159">
        <v>8.8400044034135608</v>
      </c>
      <c r="I159">
        <v>-1.8790322653146001</v>
      </c>
      <c r="J159">
        <v>6.02633395844537E-2</v>
      </c>
      <c r="K159" s="2">
        <f t="shared" si="2"/>
        <v>24.766023736537381</v>
      </c>
    </row>
    <row r="160" spans="1:11" x14ac:dyDescent="0.35">
      <c r="A160">
        <v>159</v>
      </c>
      <c r="B160">
        <v>159</v>
      </c>
      <c r="C160">
        <v>13000</v>
      </c>
      <c r="D160" t="s">
        <v>9</v>
      </c>
      <c r="E160">
        <v>369.362916730096</v>
      </c>
      <c r="F160">
        <v>510.08596586362597</v>
      </c>
      <c r="G160">
        <v>2.3276446133960902</v>
      </c>
      <c r="H160">
        <v>8.6686532996501793</v>
      </c>
      <c r="I160">
        <v>0.26851282811022298</v>
      </c>
      <c r="J160">
        <v>0.78830886321796101</v>
      </c>
      <c r="K160" s="2">
        <f t="shared" si="2"/>
        <v>24.285969054500448</v>
      </c>
    </row>
    <row r="161" spans="1:11" x14ac:dyDescent="0.35">
      <c r="A161">
        <v>160</v>
      </c>
      <c r="B161">
        <v>160</v>
      </c>
      <c r="C161">
        <v>13500</v>
      </c>
      <c r="D161" t="s">
        <v>9</v>
      </c>
      <c r="E161">
        <v>372.85923753665702</v>
      </c>
      <c r="F161">
        <v>474.37547228259399</v>
      </c>
      <c r="G161">
        <v>-4.6322914288726498</v>
      </c>
      <c r="H161">
        <v>8.4897486441345507</v>
      </c>
      <c r="I161">
        <v>-0.54563351908811097</v>
      </c>
      <c r="J161">
        <v>0.58532689525724202</v>
      </c>
      <c r="K161" s="2">
        <f t="shared" si="2"/>
        <v>23.784752455177696</v>
      </c>
    </row>
    <row r="162" spans="1:11" x14ac:dyDescent="0.35">
      <c r="A162">
        <v>161</v>
      </c>
      <c r="B162">
        <v>161</v>
      </c>
      <c r="C162">
        <v>14000</v>
      </c>
      <c r="D162" t="s">
        <v>9</v>
      </c>
      <c r="E162">
        <v>372.84068767908298</v>
      </c>
      <c r="F162">
        <v>497.512546036701</v>
      </c>
      <c r="G162">
        <v>-2.7025110409062898</v>
      </c>
      <c r="H162">
        <v>8.3806604187511304</v>
      </c>
      <c r="I162">
        <v>-0.32246993743591101</v>
      </c>
      <c r="J162">
        <v>0.74710152478500802</v>
      </c>
      <c r="K162" s="2">
        <f t="shared" si="2"/>
        <v>23.479132519266887</v>
      </c>
    </row>
    <row r="163" spans="1:11" x14ac:dyDescent="0.35">
      <c r="A163">
        <v>162</v>
      </c>
      <c r="B163">
        <v>162</v>
      </c>
      <c r="C163">
        <v>1000</v>
      </c>
      <c r="D163" t="s">
        <v>9</v>
      </c>
      <c r="E163">
        <v>320.88636363636402</v>
      </c>
      <c r="F163">
        <v>399.53510445196298</v>
      </c>
      <c r="G163">
        <v>91.301620859761698</v>
      </c>
      <c r="H163">
        <v>34.734776893471597</v>
      </c>
      <c r="I163">
        <v>2.6285362689898801</v>
      </c>
      <c r="J163">
        <v>8.7070536488946196E-3</v>
      </c>
      <c r="K163" s="2">
        <f t="shared" si="2"/>
        <v>97.31242992309663</v>
      </c>
    </row>
    <row r="164" spans="1:11" x14ac:dyDescent="0.35">
      <c r="A164">
        <v>163</v>
      </c>
      <c r="B164">
        <v>163</v>
      </c>
      <c r="C164">
        <v>1500</v>
      </c>
      <c r="D164" t="s">
        <v>9</v>
      </c>
      <c r="E164">
        <v>376.945872801083</v>
      </c>
      <c r="F164">
        <v>563.535432832884</v>
      </c>
      <c r="G164">
        <v>-15.949814982423201</v>
      </c>
      <c r="H164">
        <v>27.025668238864</v>
      </c>
      <c r="I164">
        <v>-0.59017282538408</v>
      </c>
      <c r="J164">
        <v>0.55516380163583601</v>
      </c>
      <c r="K164" s="2">
        <f t="shared" si="2"/>
        <v>75.714706752977804</v>
      </c>
    </row>
    <row r="165" spans="1:11" x14ac:dyDescent="0.35">
      <c r="A165">
        <v>164</v>
      </c>
      <c r="B165">
        <v>164</v>
      </c>
      <c r="C165">
        <v>2000</v>
      </c>
      <c r="D165" t="s">
        <v>9</v>
      </c>
      <c r="E165">
        <v>382.79426816786099</v>
      </c>
      <c r="F165">
        <v>572.08208281269299</v>
      </c>
      <c r="G165">
        <v>-20.272274032963001</v>
      </c>
      <c r="H165">
        <v>23.139494084637001</v>
      </c>
      <c r="I165">
        <v>-0.87608976924099502</v>
      </c>
      <c r="J165">
        <v>0.38108654754827798</v>
      </c>
      <c r="K165" s="2">
        <f t="shared" si="2"/>
        <v>64.827259535107757</v>
      </c>
    </row>
    <row r="166" spans="1:11" x14ac:dyDescent="0.35">
      <c r="A166">
        <v>165</v>
      </c>
      <c r="B166">
        <v>165</v>
      </c>
      <c r="C166">
        <v>2500</v>
      </c>
      <c r="D166" t="s">
        <v>9</v>
      </c>
      <c r="E166">
        <v>377.71082390953097</v>
      </c>
      <c r="F166">
        <v>517.14330864607803</v>
      </c>
      <c r="G166">
        <v>-15.477067966583901</v>
      </c>
      <c r="H166">
        <v>20.478509255080699</v>
      </c>
      <c r="I166">
        <v>-0.75577122210417302</v>
      </c>
      <c r="J166">
        <v>0.44985763257279998</v>
      </c>
      <c r="K166" s="2">
        <f t="shared" si="2"/>
        <v>57.372284351395265</v>
      </c>
    </row>
    <row r="167" spans="1:11" x14ac:dyDescent="0.35">
      <c r="A167">
        <v>166</v>
      </c>
      <c r="B167">
        <v>166</v>
      </c>
      <c r="C167">
        <v>3000</v>
      </c>
      <c r="D167" t="s">
        <v>9</v>
      </c>
      <c r="E167">
        <v>373.42428285523698</v>
      </c>
      <c r="F167">
        <v>526.395996467994</v>
      </c>
      <c r="G167">
        <v>-13.794702575423599</v>
      </c>
      <c r="H167">
        <v>18.249458111695201</v>
      </c>
      <c r="I167">
        <v>-0.75589655818784496</v>
      </c>
      <c r="J167">
        <v>0.44977060440764899</v>
      </c>
      <c r="K167" s="2">
        <f t="shared" si="2"/>
        <v>51.127408103853604</v>
      </c>
    </row>
    <row r="168" spans="1:11" x14ac:dyDescent="0.35">
      <c r="A168">
        <v>167</v>
      </c>
      <c r="B168">
        <v>167</v>
      </c>
      <c r="C168">
        <v>3500</v>
      </c>
      <c r="D168" t="s">
        <v>9</v>
      </c>
      <c r="E168">
        <v>365.52279122115903</v>
      </c>
      <c r="F168">
        <v>525.37592468026799</v>
      </c>
      <c r="G168">
        <v>10.330371866478799</v>
      </c>
      <c r="H168">
        <v>17.105518224283902</v>
      </c>
      <c r="I168">
        <v>0.603920426790301</v>
      </c>
      <c r="J168">
        <v>0.54593570935006797</v>
      </c>
      <c r="K168" s="2">
        <f t="shared" si="2"/>
        <v>47.922563274380416</v>
      </c>
    </row>
    <row r="169" spans="1:11" x14ac:dyDescent="0.35">
      <c r="A169">
        <v>168</v>
      </c>
      <c r="B169">
        <v>168</v>
      </c>
      <c r="C169">
        <v>4000</v>
      </c>
      <c r="D169" t="s">
        <v>9</v>
      </c>
      <c r="E169">
        <v>369.752864972596</v>
      </c>
      <c r="F169">
        <v>510.85071142401898</v>
      </c>
      <c r="G169">
        <v>-0.703191114091551</v>
      </c>
      <c r="H169">
        <v>15.7495379337748</v>
      </c>
      <c r="I169">
        <v>-4.46483647360576E-2</v>
      </c>
      <c r="J169">
        <v>0.96438982136405405</v>
      </c>
      <c r="K169" s="2">
        <f t="shared" si="2"/>
        <v>44.123669232194473</v>
      </c>
    </row>
    <row r="170" spans="1:11" x14ac:dyDescent="0.35">
      <c r="A170">
        <v>169</v>
      </c>
      <c r="B170">
        <v>169</v>
      </c>
      <c r="C170">
        <v>4500</v>
      </c>
      <c r="D170" t="s">
        <v>9</v>
      </c>
      <c r="E170">
        <v>360.10974499089298</v>
      </c>
      <c r="F170">
        <v>458.32706317037099</v>
      </c>
      <c r="G170">
        <v>13.4149945924402</v>
      </c>
      <c r="H170">
        <v>14.704501243676599</v>
      </c>
      <c r="I170">
        <v>0.91230531183158203</v>
      </c>
      <c r="J170">
        <v>0.36165691148625001</v>
      </c>
      <c r="K170" s="2">
        <f t="shared" si="2"/>
        <v>41.19591011676571</v>
      </c>
    </row>
    <row r="171" spans="1:11" x14ac:dyDescent="0.35">
      <c r="A171">
        <v>170</v>
      </c>
      <c r="B171">
        <v>170</v>
      </c>
      <c r="C171">
        <v>5000</v>
      </c>
      <c r="D171" t="s">
        <v>9</v>
      </c>
      <c r="E171">
        <v>353.12922465208698</v>
      </c>
      <c r="F171">
        <v>452.20512441076198</v>
      </c>
      <c r="G171">
        <v>20.682042953545501</v>
      </c>
      <c r="H171">
        <v>13.727672464810301</v>
      </c>
      <c r="I171">
        <v>1.5065950186793899</v>
      </c>
      <c r="J171">
        <v>0.131977692729738</v>
      </c>
      <c r="K171" s="2">
        <f t="shared" si="2"/>
        <v>38.45924126232557</v>
      </c>
    </row>
    <row r="172" spans="1:11" x14ac:dyDescent="0.35">
      <c r="A172">
        <v>171</v>
      </c>
      <c r="B172">
        <v>171</v>
      </c>
      <c r="C172">
        <v>5500</v>
      </c>
      <c r="D172" t="s">
        <v>9</v>
      </c>
      <c r="E172">
        <v>372.55456171735199</v>
      </c>
      <c r="F172">
        <v>520.11750793233705</v>
      </c>
      <c r="G172">
        <v>-9.23441384304558</v>
      </c>
      <c r="H172">
        <v>13.2510332491675</v>
      </c>
      <c r="I172">
        <v>-0.69688255016835798</v>
      </c>
      <c r="J172">
        <v>0.48590576213467501</v>
      </c>
      <c r="K172" s="2">
        <f t="shared" si="2"/>
        <v>37.123895985368932</v>
      </c>
    </row>
    <row r="173" spans="1:11" x14ac:dyDescent="0.35">
      <c r="A173">
        <v>172</v>
      </c>
      <c r="B173">
        <v>172</v>
      </c>
      <c r="C173">
        <v>6000</v>
      </c>
      <c r="D173" t="s">
        <v>9</v>
      </c>
      <c r="E173">
        <v>378.84926344638598</v>
      </c>
      <c r="F173">
        <v>517.306211849752</v>
      </c>
      <c r="G173">
        <v>-12.4568583830942</v>
      </c>
      <c r="H173">
        <v>12.9854111236283</v>
      </c>
      <c r="I173">
        <v>-0.95929641845745595</v>
      </c>
      <c r="J173">
        <v>0.337448105825363</v>
      </c>
      <c r="K173" s="2">
        <f t="shared" si="2"/>
        <v>36.379733022790191</v>
      </c>
    </row>
    <row r="174" spans="1:11" x14ac:dyDescent="0.35">
      <c r="A174">
        <v>173</v>
      </c>
      <c r="B174">
        <v>173</v>
      </c>
      <c r="C174">
        <v>6500</v>
      </c>
      <c r="D174" t="s">
        <v>9</v>
      </c>
      <c r="E174">
        <v>379.88298525798501</v>
      </c>
      <c r="F174">
        <v>534.545415042228</v>
      </c>
      <c r="G174">
        <v>-13.8222577610683</v>
      </c>
      <c r="H174">
        <v>12.398018408315499</v>
      </c>
      <c r="I174">
        <v>-1.1148763702268301</v>
      </c>
      <c r="J174">
        <v>0.26494463513422201</v>
      </c>
      <c r="K174" s="2">
        <f t="shared" si="2"/>
        <v>34.734102402460579</v>
      </c>
    </row>
    <row r="175" spans="1:11" x14ac:dyDescent="0.35">
      <c r="A175">
        <v>174</v>
      </c>
      <c r="B175">
        <v>174</v>
      </c>
      <c r="C175">
        <v>7000</v>
      </c>
      <c r="D175" t="s">
        <v>9</v>
      </c>
      <c r="E175">
        <v>361.61066742726803</v>
      </c>
      <c r="F175">
        <v>455.19950809670303</v>
      </c>
      <c r="G175">
        <v>19.985211221842999</v>
      </c>
      <c r="H175">
        <v>11.8429690533511</v>
      </c>
      <c r="I175">
        <v>1.68751696739324</v>
      </c>
      <c r="J175">
        <v>9.1548553787668505E-2</v>
      </c>
      <c r="K175" s="2">
        <f t="shared" si="2"/>
        <v>33.179084455332642</v>
      </c>
    </row>
    <row r="176" spans="1:11" x14ac:dyDescent="0.35">
      <c r="A176">
        <v>175</v>
      </c>
      <c r="B176">
        <v>175</v>
      </c>
      <c r="C176">
        <v>7500</v>
      </c>
      <c r="D176" t="s">
        <v>9</v>
      </c>
      <c r="E176">
        <v>364.75527088337299</v>
      </c>
      <c r="F176">
        <v>505.57981985053198</v>
      </c>
      <c r="G176">
        <v>10.0776627697041</v>
      </c>
      <c r="H176">
        <v>11.3726026933558</v>
      </c>
      <c r="I176">
        <v>0.88613513031556801</v>
      </c>
      <c r="J176">
        <v>0.37557313326585801</v>
      </c>
      <c r="K176" s="2">
        <f t="shared" si="2"/>
        <v>31.861313116665212</v>
      </c>
    </row>
    <row r="177" spans="1:11" x14ac:dyDescent="0.35">
      <c r="A177">
        <v>176</v>
      </c>
      <c r="B177">
        <v>176</v>
      </c>
      <c r="C177">
        <v>8000</v>
      </c>
      <c r="D177" t="s">
        <v>9</v>
      </c>
      <c r="E177">
        <v>377.88052538519798</v>
      </c>
      <c r="F177">
        <v>526.48932920494894</v>
      </c>
      <c r="G177">
        <v>-13.7914385255099</v>
      </c>
      <c r="H177">
        <v>11.1049595025938</v>
      </c>
      <c r="I177">
        <v>-1.2419170481701101</v>
      </c>
      <c r="J177">
        <v>0.21430358553929499</v>
      </c>
      <c r="K177" s="2">
        <f t="shared" si="2"/>
        <v>31.111487968074254</v>
      </c>
    </row>
    <row r="178" spans="1:11" x14ac:dyDescent="0.35">
      <c r="A178">
        <v>177</v>
      </c>
      <c r="B178">
        <v>177</v>
      </c>
      <c r="C178">
        <v>8500</v>
      </c>
      <c r="D178" t="s">
        <v>9</v>
      </c>
      <c r="E178">
        <v>369.33651096282199</v>
      </c>
      <c r="F178">
        <v>493.25122080814901</v>
      </c>
      <c r="G178">
        <v>4.0858868066955001</v>
      </c>
      <c r="H178">
        <v>10.786846166262</v>
      </c>
      <c r="I178">
        <v>0.37878419175708</v>
      </c>
      <c r="J178">
        <v>0.70485759013976201</v>
      </c>
      <c r="K178" s="2">
        <f t="shared" si="2"/>
        <v>30.22026641670713</v>
      </c>
    </row>
    <row r="179" spans="1:11" x14ac:dyDescent="0.35">
      <c r="A179">
        <v>178</v>
      </c>
      <c r="B179">
        <v>178</v>
      </c>
      <c r="C179">
        <v>9000</v>
      </c>
      <c r="D179" t="s">
        <v>9</v>
      </c>
      <c r="E179">
        <v>370.12989323843402</v>
      </c>
      <c r="F179">
        <v>483.702822044605</v>
      </c>
      <c r="G179">
        <v>-1.6458790288428899</v>
      </c>
      <c r="H179">
        <v>10.401599764726701</v>
      </c>
      <c r="I179">
        <v>-0.15823325892852499</v>
      </c>
      <c r="J179">
        <v>0.87427654785978104</v>
      </c>
      <c r="K179" s="2">
        <f t="shared" si="2"/>
        <v>29.140965876861856</v>
      </c>
    </row>
    <row r="180" spans="1:11" x14ac:dyDescent="0.35">
      <c r="A180">
        <v>179</v>
      </c>
      <c r="B180">
        <v>179</v>
      </c>
      <c r="C180">
        <v>9500</v>
      </c>
      <c r="D180" t="s">
        <v>9</v>
      </c>
      <c r="E180">
        <v>371.26662457912499</v>
      </c>
      <c r="F180">
        <v>486.53062328874898</v>
      </c>
      <c r="G180">
        <v>-10.9782926498912</v>
      </c>
      <c r="H180">
        <v>10.0121472730959</v>
      </c>
      <c r="I180">
        <v>-1.0964973197499199</v>
      </c>
      <c r="J180">
        <v>0.27288899556193402</v>
      </c>
      <c r="K180" s="2">
        <f t="shared" si="2"/>
        <v>28.049881618096379</v>
      </c>
    </row>
    <row r="181" spans="1:11" x14ac:dyDescent="0.35">
      <c r="A181">
        <v>180</v>
      </c>
      <c r="B181">
        <v>180</v>
      </c>
      <c r="C181">
        <v>10000</v>
      </c>
      <c r="D181" t="s">
        <v>9</v>
      </c>
      <c r="E181">
        <v>362.78463073852299</v>
      </c>
      <c r="F181">
        <v>486.29835036661302</v>
      </c>
      <c r="G181">
        <v>4.0692770771087599</v>
      </c>
      <c r="H181">
        <v>9.7687013131622091</v>
      </c>
      <c r="I181">
        <v>0.41656274940312399</v>
      </c>
      <c r="J181">
        <v>0.67700720316931395</v>
      </c>
      <c r="K181" s="2">
        <f t="shared" si="2"/>
        <v>27.367847068435548</v>
      </c>
    </row>
    <row r="182" spans="1:11" x14ac:dyDescent="0.35">
      <c r="A182">
        <v>181</v>
      </c>
      <c r="B182">
        <v>181</v>
      </c>
      <c r="C182">
        <v>10500</v>
      </c>
      <c r="D182" t="s">
        <v>9</v>
      </c>
      <c r="E182">
        <v>363.20999234303201</v>
      </c>
      <c r="F182">
        <v>489.06857882301</v>
      </c>
      <c r="G182">
        <v>3.4094162998783601</v>
      </c>
      <c r="H182">
        <v>9.4922405652302704</v>
      </c>
      <c r="I182">
        <v>0.359179297706269</v>
      </c>
      <c r="J182">
        <v>0.71946818650142397</v>
      </c>
      <c r="K182" s="2">
        <f t="shared" si="2"/>
        <v>26.593318783940649</v>
      </c>
    </row>
    <row r="183" spans="1:11" x14ac:dyDescent="0.35">
      <c r="A183">
        <v>182</v>
      </c>
      <c r="B183">
        <v>182</v>
      </c>
      <c r="C183">
        <v>11000</v>
      </c>
      <c r="D183" t="s">
        <v>9</v>
      </c>
      <c r="E183">
        <v>353.72315558802001</v>
      </c>
      <c r="F183">
        <v>459.07011716685798</v>
      </c>
      <c r="G183">
        <v>23.989371566212998</v>
      </c>
      <c r="H183">
        <v>9.2425821703418496</v>
      </c>
      <c r="I183">
        <v>2.5955269992828902</v>
      </c>
      <c r="J183">
        <v>9.4571470236250506E-3</v>
      </c>
      <c r="K183" s="2">
        <f t="shared" si="2"/>
        <v>25.893879569697173</v>
      </c>
    </row>
    <row r="184" spans="1:11" x14ac:dyDescent="0.35">
      <c r="A184">
        <v>183</v>
      </c>
      <c r="B184">
        <v>183</v>
      </c>
      <c r="C184">
        <v>11500</v>
      </c>
      <c r="D184" t="s">
        <v>9</v>
      </c>
      <c r="E184">
        <v>364.05253878702399</v>
      </c>
      <c r="F184">
        <v>472.25147264964301</v>
      </c>
      <c r="G184">
        <v>5.9040500942388299</v>
      </c>
      <c r="H184">
        <v>9.03422927119402</v>
      </c>
      <c r="I184">
        <v>0.65352006430300802</v>
      </c>
      <c r="J184">
        <v>0.51343412692315105</v>
      </c>
      <c r="K184" s="2">
        <f t="shared" si="2"/>
        <v>25.310161212738102</v>
      </c>
    </row>
    <row r="185" spans="1:11" x14ac:dyDescent="0.35">
      <c r="A185">
        <v>184</v>
      </c>
      <c r="B185">
        <v>184</v>
      </c>
      <c r="C185">
        <v>12000</v>
      </c>
      <c r="D185" t="s">
        <v>9</v>
      </c>
      <c r="E185">
        <v>369.378810594703</v>
      </c>
      <c r="F185">
        <v>497.16339596088199</v>
      </c>
      <c r="G185">
        <v>-1.7791774447936499</v>
      </c>
      <c r="H185">
        <v>8.9117045098394598</v>
      </c>
      <c r="I185">
        <v>-0.199645022209752</v>
      </c>
      <c r="J185">
        <v>0.84176159724159705</v>
      </c>
      <c r="K185" s="2">
        <f t="shared" si="2"/>
        <v>24.966897679198585</v>
      </c>
    </row>
    <row r="186" spans="1:11" x14ac:dyDescent="0.35">
      <c r="A186">
        <v>185</v>
      </c>
      <c r="B186">
        <v>185</v>
      </c>
      <c r="C186">
        <v>12500</v>
      </c>
      <c r="D186" t="s">
        <v>9</v>
      </c>
      <c r="E186">
        <v>369.13870105362503</v>
      </c>
      <c r="F186">
        <v>502.79350455277103</v>
      </c>
      <c r="G186">
        <v>0.48806983059661002</v>
      </c>
      <c r="H186">
        <v>8.8340178038384494</v>
      </c>
      <c r="I186">
        <v>5.5248907284807601E-2</v>
      </c>
      <c r="J186">
        <v>0.95594104914844302</v>
      </c>
      <c r="K186" s="2">
        <f t="shared" si="2"/>
        <v>24.749251768966744</v>
      </c>
    </row>
    <row r="187" spans="1:11" x14ac:dyDescent="0.35">
      <c r="A187">
        <v>186</v>
      </c>
      <c r="B187">
        <v>186</v>
      </c>
      <c r="C187">
        <v>13000</v>
      </c>
      <c r="D187" t="s">
        <v>9</v>
      </c>
      <c r="E187">
        <v>367.90172177357903</v>
      </c>
      <c r="F187">
        <v>477.95631706850003</v>
      </c>
      <c r="G187">
        <v>5.2764668235930001</v>
      </c>
      <c r="H187">
        <v>8.6800207031535201</v>
      </c>
      <c r="I187">
        <v>0.60788643299848499</v>
      </c>
      <c r="J187">
        <v>0.54327341889575798</v>
      </c>
      <c r="K187" s="2">
        <f t="shared" si="2"/>
        <v>24.317815801644358</v>
      </c>
    </row>
    <row r="188" spans="1:11" x14ac:dyDescent="0.35">
      <c r="A188">
        <v>187</v>
      </c>
      <c r="B188">
        <v>187</v>
      </c>
      <c r="C188">
        <v>13500</v>
      </c>
      <c r="D188" t="s">
        <v>9</v>
      </c>
      <c r="E188">
        <v>374.38454720047298</v>
      </c>
      <c r="F188">
        <v>510.75353553143998</v>
      </c>
      <c r="G188">
        <v>-7.6564235932817697</v>
      </c>
      <c r="H188">
        <v>8.4808715506462899</v>
      </c>
      <c r="I188">
        <v>-0.90278735476170602</v>
      </c>
      <c r="J188">
        <v>0.36665487348227799</v>
      </c>
      <c r="K188" s="2">
        <f t="shared" si="2"/>
        <v>23.759882523217389</v>
      </c>
    </row>
    <row r="189" spans="1:11" x14ac:dyDescent="0.35">
      <c r="A189">
        <v>188</v>
      </c>
      <c r="B189">
        <v>188</v>
      </c>
      <c r="C189">
        <v>14000</v>
      </c>
      <c r="D189" t="s">
        <v>9</v>
      </c>
      <c r="E189">
        <v>373.43764108352099</v>
      </c>
      <c r="F189">
        <v>490.46108421437202</v>
      </c>
      <c r="G189">
        <v>-3.9538447872251199</v>
      </c>
      <c r="H189">
        <v>8.3833515510005494</v>
      </c>
      <c r="I189">
        <v>-0.47163056006559001</v>
      </c>
      <c r="J189">
        <v>0.63719786048072802</v>
      </c>
      <c r="K189" s="2">
        <f t="shared" si="2"/>
        <v>23.486671955009875</v>
      </c>
    </row>
    <row r="190" spans="1:11" x14ac:dyDescent="0.35">
      <c r="A190">
        <v>189</v>
      </c>
      <c r="B190">
        <v>189</v>
      </c>
      <c r="C190">
        <v>1000</v>
      </c>
      <c r="D190" t="s">
        <v>9</v>
      </c>
      <c r="E190">
        <v>364.80684104627801</v>
      </c>
      <c r="F190">
        <v>523.74257916203396</v>
      </c>
      <c r="G190">
        <v>6.3442523930864301</v>
      </c>
      <c r="H190">
        <v>35.3451781384708</v>
      </c>
      <c r="I190">
        <v>0.179494141130984</v>
      </c>
      <c r="J190">
        <v>0.85758615238649205</v>
      </c>
      <c r="K190" s="2">
        <f t="shared" si="2"/>
        <v>99.022520895067728</v>
      </c>
    </row>
    <row r="191" spans="1:11" x14ac:dyDescent="0.35">
      <c r="A191">
        <v>190</v>
      </c>
      <c r="B191">
        <v>190</v>
      </c>
      <c r="C191">
        <v>1500</v>
      </c>
      <c r="D191" t="s">
        <v>9</v>
      </c>
      <c r="E191">
        <v>387.80689655172398</v>
      </c>
      <c r="F191">
        <v>588.11979762732994</v>
      </c>
      <c r="G191">
        <v>-36.683025583982598</v>
      </c>
      <c r="H191">
        <v>27.195203980984498</v>
      </c>
      <c r="I191">
        <v>-1.34887848642842</v>
      </c>
      <c r="J191">
        <v>0.177579863998826</v>
      </c>
      <c r="K191" s="2">
        <f t="shared" si="2"/>
        <v>76.189675545066464</v>
      </c>
    </row>
    <row r="192" spans="1:11" x14ac:dyDescent="0.35">
      <c r="A192">
        <v>191</v>
      </c>
      <c r="B192">
        <v>191</v>
      </c>
      <c r="C192">
        <v>2000</v>
      </c>
      <c r="D192" t="s">
        <v>9</v>
      </c>
      <c r="E192">
        <v>370.60652591170799</v>
      </c>
      <c r="F192">
        <v>545.83106459901205</v>
      </c>
      <c r="G192">
        <v>3.79639684403275</v>
      </c>
      <c r="H192">
        <v>22.907630650783901</v>
      </c>
      <c r="I192">
        <v>0.165726298887346</v>
      </c>
      <c r="J192">
        <v>0.86838911557040599</v>
      </c>
      <c r="K192" s="2">
        <f t="shared" si="2"/>
        <v>64.177674416776426</v>
      </c>
    </row>
    <row r="193" spans="1:11" x14ac:dyDescent="0.35">
      <c r="A193">
        <v>192</v>
      </c>
      <c r="B193">
        <v>192</v>
      </c>
      <c r="C193">
        <v>2500</v>
      </c>
      <c r="D193" t="s">
        <v>9</v>
      </c>
      <c r="E193">
        <v>387.51916932907301</v>
      </c>
      <c r="F193">
        <v>549.67206889680006</v>
      </c>
      <c r="G193">
        <v>-35.298816764970198</v>
      </c>
      <c r="H193">
        <v>20.458418486666901</v>
      </c>
      <c r="I193">
        <v>-1.72539323056545</v>
      </c>
      <c r="J193">
        <v>8.4580306175242398E-2</v>
      </c>
      <c r="K193" s="2">
        <f t="shared" si="2"/>
        <v>57.315998355968695</v>
      </c>
    </row>
    <row r="194" spans="1:11" x14ac:dyDescent="0.35">
      <c r="A194">
        <v>193</v>
      </c>
      <c r="B194">
        <v>193</v>
      </c>
      <c r="C194">
        <v>3000</v>
      </c>
      <c r="D194" t="s">
        <v>9</v>
      </c>
      <c r="E194">
        <v>379.86094477711202</v>
      </c>
      <c r="F194">
        <v>497.47174637398803</v>
      </c>
      <c r="G194">
        <v>-26.730684256070099</v>
      </c>
      <c r="H194">
        <v>18.243643305806899</v>
      </c>
      <c r="I194">
        <v>-1.46520537636042</v>
      </c>
      <c r="J194">
        <v>0.142969753479011</v>
      </c>
      <c r="K194" s="2">
        <f t="shared" si="2"/>
        <v>51.111117430899021</v>
      </c>
    </row>
    <row r="195" spans="1:11" x14ac:dyDescent="0.35">
      <c r="A195">
        <v>194</v>
      </c>
      <c r="B195">
        <v>194</v>
      </c>
      <c r="C195">
        <v>3500</v>
      </c>
      <c r="D195" t="s">
        <v>9</v>
      </c>
      <c r="E195">
        <v>373.69893676552903</v>
      </c>
      <c r="F195">
        <v>531.80724119269303</v>
      </c>
      <c r="G195">
        <v>-6.3148153411268</v>
      </c>
      <c r="H195">
        <v>17.090284737216098</v>
      </c>
      <c r="I195">
        <v>-0.36949737457419601</v>
      </c>
      <c r="J195">
        <v>0.71177939569772597</v>
      </c>
      <c r="K195" s="2">
        <f t="shared" ref="K195:K258" si="3">H195*2.801585</f>
        <v>47.879885365513566</v>
      </c>
    </row>
    <row r="196" spans="1:11" x14ac:dyDescent="0.35">
      <c r="A196">
        <v>195</v>
      </c>
      <c r="B196">
        <v>195</v>
      </c>
      <c r="C196">
        <v>4000</v>
      </c>
      <c r="D196" t="s">
        <v>9</v>
      </c>
      <c r="E196">
        <v>368.92921236291102</v>
      </c>
      <c r="F196">
        <v>506.14129494436401</v>
      </c>
      <c r="G196">
        <v>0.94942354481147795</v>
      </c>
      <c r="H196">
        <v>15.750839416085901</v>
      </c>
      <c r="I196">
        <v>6.02776474148966E-2</v>
      </c>
      <c r="J196">
        <v>0.95193751711792396</v>
      </c>
      <c r="K196" s="2">
        <f t="shared" si="3"/>
        <v>44.127315445515023</v>
      </c>
    </row>
    <row r="197" spans="1:11" x14ac:dyDescent="0.35">
      <c r="A197">
        <v>196</v>
      </c>
      <c r="B197">
        <v>196</v>
      </c>
      <c r="C197">
        <v>4500</v>
      </c>
      <c r="D197" t="s">
        <v>9</v>
      </c>
      <c r="E197">
        <v>376.84799278304001</v>
      </c>
      <c r="F197">
        <v>481.56070624246001</v>
      </c>
      <c r="G197">
        <v>-19.4542126691546</v>
      </c>
      <c r="H197">
        <v>14.738236097239801</v>
      </c>
      <c r="I197">
        <v>-1.31998242807347</v>
      </c>
      <c r="J197">
        <v>0.18690805556436799</v>
      </c>
      <c r="K197" s="2">
        <f t="shared" si="3"/>
        <v>41.290421176485573</v>
      </c>
    </row>
    <row r="198" spans="1:11" x14ac:dyDescent="0.35">
      <c r="A198">
        <v>197</v>
      </c>
      <c r="B198">
        <v>197</v>
      </c>
      <c r="C198">
        <v>5000</v>
      </c>
      <c r="D198" t="s">
        <v>9</v>
      </c>
      <c r="E198">
        <v>360.35287128712901</v>
      </c>
      <c r="F198">
        <v>461.682475987327</v>
      </c>
      <c r="G198">
        <v>6.1723812381234398</v>
      </c>
      <c r="H198">
        <v>13.7331613317809</v>
      </c>
      <c r="I198">
        <v>0.44945086488130498</v>
      </c>
      <c r="J198">
        <v>0.65312593474926794</v>
      </c>
      <c r="K198" s="2">
        <f t="shared" si="3"/>
        <v>38.474618789697395</v>
      </c>
    </row>
    <row r="199" spans="1:11" x14ac:dyDescent="0.35">
      <c r="A199">
        <v>198</v>
      </c>
      <c r="B199">
        <v>198</v>
      </c>
      <c r="C199">
        <v>5500</v>
      </c>
      <c r="D199" t="s">
        <v>9</v>
      </c>
      <c r="E199">
        <v>358.08236179014699</v>
      </c>
      <c r="F199">
        <v>469.43022271315999</v>
      </c>
      <c r="G199">
        <v>19.224924376696698</v>
      </c>
      <c r="H199">
        <v>13.242077475431699</v>
      </c>
      <c r="I199">
        <v>1.4518057617745399</v>
      </c>
      <c r="J199">
        <v>0.146612679984164</v>
      </c>
      <c r="K199" s="2">
        <f t="shared" si="3"/>
        <v>37.098805624007319</v>
      </c>
    </row>
    <row r="200" spans="1:11" x14ac:dyDescent="0.35">
      <c r="A200">
        <v>199</v>
      </c>
      <c r="B200">
        <v>199</v>
      </c>
      <c r="C200">
        <v>6000</v>
      </c>
      <c r="D200" t="s">
        <v>9</v>
      </c>
      <c r="E200">
        <v>373.97567477507499</v>
      </c>
      <c r="F200">
        <v>493.740683363328</v>
      </c>
      <c r="G200">
        <v>-3.0470318941143399</v>
      </c>
      <c r="H200">
        <v>12.9604232634409</v>
      </c>
      <c r="I200">
        <v>-0.235102807383574</v>
      </c>
      <c r="J200">
        <v>0.81413696551438697</v>
      </c>
      <c r="K200" s="2">
        <f t="shared" si="3"/>
        <v>36.309727408507079</v>
      </c>
    </row>
    <row r="201" spans="1:11" x14ac:dyDescent="0.35">
      <c r="A201">
        <v>200</v>
      </c>
      <c r="B201">
        <v>200</v>
      </c>
      <c r="C201">
        <v>6500</v>
      </c>
      <c r="D201" t="s">
        <v>9</v>
      </c>
      <c r="E201">
        <v>372.09344362745099</v>
      </c>
      <c r="F201">
        <v>505.83348819049098</v>
      </c>
      <c r="G201">
        <v>1.7900545184086201</v>
      </c>
      <c r="H201">
        <v>12.401290296261299</v>
      </c>
      <c r="I201">
        <v>0.14434421545218401</v>
      </c>
      <c r="J201">
        <v>0.88523314131898101</v>
      </c>
      <c r="K201" s="2">
        <f t="shared" si="3"/>
        <v>34.743268874651214</v>
      </c>
    </row>
    <row r="202" spans="1:11" x14ac:dyDescent="0.35">
      <c r="A202">
        <v>201</v>
      </c>
      <c r="B202">
        <v>201</v>
      </c>
      <c r="C202">
        <v>7000</v>
      </c>
      <c r="D202" t="s">
        <v>9</v>
      </c>
      <c r="E202">
        <v>369.67319148936201</v>
      </c>
      <c r="F202">
        <v>490.60943057609802</v>
      </c>
      <c r="G202">
        <v>3.85342721567365</v>
      </c>
      <c r="H202">
        <v>11.844034273018901</v>
      </c>
      <c r="I202">
        <v>0.32534752322119398</v>
      </c>
      <c r="J202">
        <v>0.74492779369319695</v>
      </c>
      <c r="K202" s="2">
        <f t="shared" si="3"/>
        <v>33.182068758775657</v>
      </c>
    </row>
    <row r="203" spans="1:11" x14ac:dyDescent="0.35">
      <c r="A203">
        <v>202</v>
      </c>
      <c r="B203">
        <v>202</v>
      </c>
      <c r="C203">
        <v>7500</v>
      </c>
      <c r="D203" t="s">
        <v>9</v>
      </c>
      <c r="E203">
        <v>358.54175531914899</v>
      </c>
      <c r="F203">
        <v>458.187954339236</v>
      </c>
      <c r="G203">
        <v>22.572950563202099</v>
      </c>
      <c r="H203">
        <v>11.3738142954575</v>
      </c>
      <c r="I203">
        <v>1.9846420889971299</v>
      </c>
      <c r="J203">
        <v>4.72206945446716E-2</v>
      </c>
      <c r="K203" s="2">
        <f t="shared" si="3"/>
        <v>31.864707522939302</v>
      </c>
    </row>
    <row r="204" spans="1:11" x14ac:dyDescent="0.35">
      <c r="A204">
        <v>203</v>
      </c>
      <c r="B204">
        <v>203</v>
      </c>
      <c r="C204">
        <v>8000</v>
      </c>
      <c r="D204" t="s">
        <v>9</v>
      </c>
      <c r="E204">
        <v>372.76578360980398</v>
      </c>
      <c r="F204">
        <v>487.69792401595703</v>
      </c>
      <c r="G204">
        <v>-3.73978007534265</v>
      </c>
      <c r="H204">
        <v>11.095195814892501</v>
      </c>
      <c r="I204">
        <v>-0.33706300796628802</v>
      </c>
      <c r="J204">
        <v>0.73607824705996205</v>
      </c>
      <c r="K204" s="2">
        <f t="shared" si="3"/>
        <v>31.08413416706561</v>
      </c>
    </row>
    <row r="205" spans="1:11" x14ac:dyDescent="0.35">
      <c r="A205">
        <v>204</v>
      </c>
      <c r="B205">
        <v>204</v>
      </c>
      <c r="C205">
        <v>8500</v>
      </c>
      <c r="D205" t="s">
        <v>9</v>
      </c>
      <c r="E205">
        <v>373.19985825655601</v>
      </c>
      <c r="F205">
        <v>500.88148548804003</v>
      </c>
      <c r="G205">
        <v>-3.5745946052780799</v>
      </c>
      <c r="H205">
        <v>10.7888818136341</v>
      </c>
      <c r="I205">
        <v>-0.33132206534701503</v>
      </c>
      <c r="J205">
        <v>0.74040939558997998</v>
      </c>
      <c r="K205" s="2">
        <f t="shared" si="3"/>
        <v>30.225969455850095</v>
      </c>
    </row>
    <row r="206" spans="1:11" x14ac:dyDescent="0.35">
      <c r="A206">
        <v>205</v>
      </c>
      <c r="B206">
        <v>205</v>
      </c>
      <c r="C206">
        <v>9000</v>
      </c>
      <c r="D206" t="s">
        <v>9</v>
      </c>
      <c r="E206">
        <v>374.375192434572</v>
      </c>
      <c r="F206">
        <v>509.27652417268001</v>
      </c>
      <c r="G206">
        <v>-10.244943164417901</v>
      </c>
      <c r="H206">
        <v>10.394757056271899</v>
      </c>
      <c r="I206">
        <v>-0.98558755235519502</v>
      </c>
      <c r="J206">
        <v>0.32436204931657397</v>
      </c>
      <c r="K206" s="2">
        <f t="shared" si="3"/>
        <v>29.121795447495511</v>
      </c>
    </row>
    <row r="207" spans="1:11" x14ac:dyDescent="0.35">
      <c r="A207">
        <v>206</v>
      </c>
      <c r="B207">
        <v>206</v>
      </c>
      <c r="C207">
        <v>9500</v>
      </c>
      <c r="D207" t="s">
        <v>9</v>
      </c>
      <c r="E207">
        <v>375.20029895366201</v>
      </c>
      <c r="F207">
        <v>519.66290788346396</v>
      </c>
      <c r="G207">
        <v>-18.578957870000799</v>
      </c>
      <c r="H207">
        <v>10.030697263213399</v>
      </c>
      <c r="I207">
        <v>-1.85221000918225</v>
      </c>
      <c r="J207">
        <v>6.40266786085463E-2</v>
      </c>
      <c r="K207" s="2">
        <f t="shared" si="3"/>
        <v>28.101850992159715</v>
      </c>
    </row>
    <row r="208" spans="1:11" x14ac:dyDescent="0.35">
      <c r="A208">
        <v>207</v>
      </c>
      <c r="B208">
        <v>207</v>
      </c>
      <c r="C208">
        <v>10000</v>
      </c>
      <c r="D208" t="s">
        <v>9</v>
      </c>
      <c r="E208">
        <v>364.23856662047098</v>
      </c>
      <c r="F208">
        <v>502.79195459886898</v>
      </c>
      <c r="G208">
        <v>1.16515130234161</v>
      </c>
      <c r="H208">
        <v>9.7630697236941408</v>
      </c>
      <c r="I208">
        <v>0.119342720611109</v>
      </c>
      <c r="J208">
        <v>0.90500623693899196</v>
      </c>
      <c r="K208" s="2">
        <f t="shared" si="3"/>
        <v>27.35206969185565</v>
      </c>
    </row>
    <row r="209" spans="1:11" x14ac:dyDescent="0.35">
      <c r="A209">
        <v>208</v>
      </c>
      <c r="B209">
        <v>208</v>
      </c>
      <c r="C209">
        <v>10500</v>
      </c>
      <c r="D209" t="s">
        <v>9</v>
      </c>
      <c r="E209">
        <v>370.83425625358001</v>
      </c>
      <c r="F209">
        <v>510.310810587329</v>
      </c>
      <c r="G209">
        <v>-11.7930250166429</v>
      </c>
      <c r="H209">
        <v>9.4933509487521501</v>
      </c>
      <c r="I209">
        <v>-1.24224049867165</v>
      </c>
      <c r="J209">
        <v>0.21417559056262001</v>
      </c>
      <c r="K209" s="2">
        <f t="shared" si="3"/>
        <v>26.596429617759796</v>
      </c>
    </row>
    <row r="210" spans="1:11" x14ac:dyDescent="0.35">
      <c r="A210">
        <v>209</v>
      </c>
      <c r="B210">
        <v>209</v>
      </c>
      <c r="C210">
        <v>11000</v>
      </c>
      <c r="D210" t="s">
        <v>9</v>
      </c>
      <c r="E210">
        <v>357.75632563256301</v>
      </c>
      <c r="F210">
        <v>453.901572655802</v>
      </c>
      <c r="G210">
        <v>15.8947742592508</v>
      </c>
      <c r="H210">
        <v>9.2390548275455409</v>
      </c>
      <c r="I210">
        <v>1.7203896454712799</v>
      </c>
      <c r="J210">
        <v>8.5389767273820597E-2</v>
      </c>
      <c r="K210" s="2">
        <f t="shared" si="3"/>
        <v>25.883997419029175</v>
      </c>
    </row>
    <row r="211" spans="1:11" x14ac:dyDescent="0.35">
      <c r="A211">
        <v>210</v>
      </c>
      <c r="B211">
        <v>210</v>
      </c>
      <c r="C211">
        <v>11500</v>
      </c>
      <c r="D211" t="s">
        <v>9</v>
      </c>
      <c r="E211">
        <v>358.55870655369199</v>
      </c>
      <c r="F211">
        <v>455.955390199308</v>
      </c>
      <c r="G211">
        <v>17.069769919984601</v>
      </c>
      <c r="H211">
        <v>9.0444061540947995</v>
      </c>
      <c r="I211">
        <v>1.8873289886762099</v>
      </c>
      <c r="J211">
        <v>5.9141254321037298E-2</v>
      </c>
      <c r="K211" s="2">
        <f t="shared" si="3"/>
        <v>25.338672615219682</v>
      </c>
    </row>
    <row r="212" spans="1:11" x14ac:dyDescent="0.35">
      <c r="A212">
        <v>211</v>
      </c>
      <c r="B212">
        <v>211</v>
      </c>
      <c r="C212">
        <v>12000</v>
      </c>
      <c r="D212" t="s">
        <v>9</v>
      </c>
      <c r="E212">
        <v>367.530174563591</v>
      </c>
      <c r="F212">
        <v>491.42272470726903</v>
      </c>
      <c r="G212">
        <v>1.9237936903781701</v>
      </c>
      <c r="H212">
        <v>8.9115893946468692</v>
      </c>
      <c r="I212">
        <v>0.21587548586268801</v>
      </c>
      <c r="J212">
        <v>0.82908847572485</v>
      </c>
      <c r="K212" s="2">
        <f t="shared" si="3"/>
        <v>24.966575174201751</v>
      </c>
    </row>
    <row r="213" spans="1:11" x14ac:dyDescent="0.35">
      <c r="A213">
        <v>212</v>
      </c>
      <c r="B213">
        <v>212</v>
      </c>
      <c r="C213">
        <v>12500</v>
      </c>
      <c r="D213" t="s">
        <v>9</v>
      </c>
      <c r="E213">
        <v>363.612368504941</v>
      </c>
      <c r="F213">
        <v>475.20031489498803</v>
      </c>
      <c r="G213">
        <v>11.576677431455799</v>
      </c>
      <c r="H213">
        <v>8.8402910889691295</v>
      </c>
      <c r="I213">
        <v>1.3095357737598801</v>
      </c>
      <c r="J213">
        <v>0.190377000332101</v>
      </c>
      <c r="K213" s="2">
        <f t="shared" si="3"/>
        <v>24.766826910489581</v>
      </c>
    </row>
    <row r="214" spans="1:11" x14ac:dyDescent="0.35">
      <c r="A214">
        <v>213</v>
      </c>
      <c r="B214">
        <v>213</v>
      </c>
      <c r="C214">
        <v>13000</v>
      </c>
      <c r="D214" t="s">
        <v>9</v>
      </c>
      <c r="E214">
        <v>364.61214450422801</v>
      </c>
      <c r="F214">
        <v>487.69803598023901</v>
      </c>
      <c r="G214">
        <v>11.813567581993601</v>
      </c>
      <c r="H214">
        <v>8.6737294352447396</v>
      </c>
      <c r="I214">
        <v>1.36199401539902</v>
      </c>
      <c r="J214">
        <v>0.17322337676376701</v>
      </c>
      <c r="K214" s="2">
        <f t="shared" si="3"/>
        <v>24.300190279840134</v>
      </c>
    </row>
    <row r="215" spans="1:11" x14ac:dyDescent="0.35">
      <c r="A215">
        <v>214</v>
      </c>
      <c r="B215">
        <v>214</v>
      </c>
      <c r="C215">
        <v>13500</v>
      </c>
      <c r="D215" t="s">
        <v>9</v>
      </c>
      <c r="E215">
        <v>362.10878348047299</v>
      </c>
      <c r="F215">
        <v>475.79431276825602</v>
      </c>
      <c r="G215">
        <v>16.750392109961801</v>
      </c>
      <c r="H215">
        <v>8.4764414374638992</v>
      </c>
      <c r="I215">
        <v>1.9761113473784999</v>
      </c>
      <c r="J215">
        <v>4.8162496350044999E-2</v>
      </c>
      <c r="K215" s="2">
        <f t="shared" si="3"/>
        <v>23.7474711845773</v>
      </c>
    </row>
    <row r="216" spans="1:11" x14ac:dyDescent="0.35">
      <c r="A216">
        <v>215</v>
      </c>
      <c r="B216">
        <v>215</v>
      </c>
      <c r="C216">
        <v>14000</v>
      </c>
      <c r="D216" t="s">
        <v>9</v>
      </c>
      <c r="E216">
        <v>382.69251877527398</v>
      </c>
      <c r="F216">
        <v>514.866344168772</v>
      </c>
      <c r="G216">
        <v>-22.173157554244401</v>
      </c>
      <c r="H216">
        <v>8.3860027647005904</v>
      </c>
      <c r="I216">
        <v>-2.64406752256015</v>
      </c>
      <c r="J216">
        <v>8.2007661501359696E-3</v>
      </c>
      <c r="K216" s="2">
        <f t="shared" si="3"/>
        <v>23.494099555543706</v>
      </c>
    </row>
    <row r="217" spans="1:11" x14ac:dyDescent="0.35">
      <c r="A217">
        <v>216</v>
      </c>
      <c r="B217">
        <v>216</v>
      </c>
      <c r="C217">
        <v>1000</v>
      </c>
      <c r="D217" t="s">
        <v>9</v>
      </c>
      <c r="E217">
        <v>343.49785407725301</v>
      </c>
      <c r="F217">
        <v>430.397536912482</v>
      </c>
      <c r="G217">
        <v>45.880423076304702</v>
      </c>
      <c r="H217">
        <v>34.4947282355078</v>
      </c>
      <c r="I217">
        <v>1.3300705766708101</v>
      </c>
      <c r="J217">
        <v>0.18379889463360999</v>
      </c>
      <c r="K217" s="2">
        <f t="shared" si="3"/>
        <v>96.639913203675121</v>
      </c>
    </row>
    <row r="218" spans="1:11" x14ac:dyDescent="0.35">
      <c r="A218">
        <v>217</v>
      </c>
      <c r="B218">
        <v>217</v>
      </c>
      <c r="C218">
        <v>1500</v>
      </c>
      <c r="D218" t="s">
        <v>9</v>
      </c>
      <c r="E218">
        <v>342.53716690042103</v>
      </c>
      <c r="F218">
        <v>421.05058755737599</v>
      </c>
      <c r="G218">
        <v>50.159148220290596</v>
      </c>
      <c r="H218">
        <v>26.518267831887801</v>
      </c>
      <c r="I218">
        <v>1.8914941405024599</v>
      </c>
      <c r="J218">
        <v>5.8751163822008602E-2</v>
      </c>
      <c r="K218" s="2">
        <f t="shared" si="3"/>
        <v>74.293181383799393</v>
      </c>
    </row>
    <row r="219" spans="1:11" x14ac:dyDescent="0.35">
      <c r="A219">
        <v>218</v>
      </c>
      <c r="B219">
        <v>218</v>
      </c>
      <c r="C219">
        <v>2000</v>
      </c>
      <c r="D219" t="s">
        <v>9</v>
      </c>
      <c r="E219">
        <v>376.21084953940601</v>
      </c>
      <c r="F219">
        <v>580.24994840850104</v>
      </c>
      <c r="G219">
        <v>-7.4014653751833999</v>
      </c>
      <c r="H219">
        <v>23.161501973240998</v>
      </c>
      <c r="I219">
        <v>-0.31955895536198198</v>
      </c>
      <c r="J219">
        <v>0.74933610159964303</v>
      </c>
      <c r="K219" s="2">
        <f t="shared" si="3"/>
        <v>64.888916505702383</v>
      </c>
    </row>
    <row r="220" spans="1:11" x14ac:dyDescent="0.35">
      <c r="A220">
        <v>219</v>
      </c>
      <c r="B220">
        <v>219</v>
      </c>
      <c r="C220">
        <v>2500</v>
      </c>
      <c r="D220" t="s">
        <v>9</v>
      </c>
      <c r="E220">
        <v>359.56494023904401</v>
      </c>
      <c r="F220">
        <v>470.53487198663498</v>
      </c>
      <c r="G220">
        <v>20.749115985855902</v>
      </c>
      <c r="H220">
        <v>20.484307295919798</v>
      </c>
      <c r="I220">
        <v>1.0129273929603999</v>
      </c>
      <c r="J220">
        <v>0.31119294286664601</v>
      </c>
      <c r="K220" s="2">
        <f t="shared" si="3"/>
        <v>57.388528055639469</v>
      </c>
    </row>
    <row r="221" spans="1:11" x14ac:dyDescent="0.35">
      <c r="A221">
        <v>220</v>
      </c>
      <c r="B221">
        <v>220</v>
      </c>
      <c r="C221">
        <v>3000</v>
      </c>
      <c r="D221" t="s">
        <v>9</v>
      </c>
      <c r="E221">
        <v>372.29821073558702</v>
      </c>
      <c r="F221">
        <v>506.36715941701198</v>
      </c>
      <c r="G221">
        <v>-11.6214837067467</v>
      </c>
      <c r="H221">
        <v>18.245937022857898</v>
      </c>
      <c r="I221">
        <v>-0.63693542799077396</v>
      </c>
      <c r="J221">
        <v>0.52421553577205005</v>
      </c>
      <c r="K221" s="2">
        <f t="shared" si="3"/>
        <v>51.11754347418335</v>
      </c>
    </row>
    <row r="222" spans="1:11" x14ac:dyDescent="0.35">
      <c r="A222">
        <v>221</v>
      </c>
      <c r="B222">
        <v>221</v>
      </c>
      <c r="C222">
        <v>3500</v>
      </c>
      <c r="D222" t="s">
        <v>9</v>
      </c>
      <c r="E222">
        <v>379.25242165242202</v>
      </c>
      <c r="F222">
        <v>547.90870739601303</v>
      </c>
      <c r="G222">
        <v>-17.337808471905699</v>
      </c>
      <c r="H222">
        <v>17.114060481450899</v>
      </c>
      <c r="I222">
        <v>-1.01307392776234</v>
      </c>
      <c r="J222">
        <v>0.31109491794503902</v>
      </c>
      <c r="K222" s="2">
        <f t="shared" si="3"/>
        <v>47.946495133925623</v>
      </c>
    </row>
    <row r="223" spans="1:11" x14ac:dyDescent="0.35">
      <c r="A223">
        <v>222</v>
      </c>
      <c r="B223">
        <v>222</v>
      </c>
      <c r="C223">
        <v>4000</v>
      </c>
      <c r="D223" t="s">
        <v>9</v>
      </c>
      <c r="E223">
        <v>365.373767258383</v>
      </c>
      <c r="F223">
        <v>455.61726113646603</v>
      </c>
      <c r="G223">
        <v>8.1718716868505794</v>
      </c>
      <c r="H223">
        <v>15.7897749356441</v>
      </c>
      <c r="I223">
        <v>0.51754199918348798</v>
      </c>
      <c r="J223">
        <v>0.60480649171814604</v>
      </c>
      <c r="K223" s="2">
        <f t="shared" si="3"/>
        <v>44.236396613076479</v>
      </c>
    </row>
    <row r="224" spans="1:11" x14ac:dyDescent="0.35">
      <c r="A224">
        <v>223</v>
      </c>
      <c r="B224">
        <v>223</v>
      </c>
      <c r="C224">
        <v>4500</v>
      </c>
      <c r="D224" t="s">
        <v>9</v>
      </c>
      <c r="E224">
        <v>375.08019936565501</v>
      </c>
      <c r="F224">
        <v>496.22101885029701</v>
      </c>
      <c r="G224">
        <v>-15.9000859770816</v>
      </c>
      <c r="H224">
        <v>14.753192934680801</v>
      </c>
      <c r="I224">
        <v>-1.0777386324085001</v>
      </c>
      <c r="J224">
        <v>0.28120820741799202</v>
      </c>
      <c r="K224" s="2">
        <f t="shared" si="3"/>
        <v>41.332324027907717</v>
      </c>
    </row>
    <row r="225" spans="1:11" x14ac:dyDescent="0.35">
      <c r="A225">
        <v>224</v>
      </c>
      <c r="B225">
        <v>224</v>
      </c>
      <c r="C225">
        <v>5000</v>
      </c>
      <c r="D225" t="s">
        <v>9</v>
      </c>
      <c r="E225">
        <v>368.61808044603703</v>
      </c>
      <c r="F225">
        <v>494.99452479532499</v>
      </c>
      <c r="G225">
        <v>-10.4658104580901</v>
      </c>
      <c r="H225">
        <v>13.7165614823551</v>
      </c>
      <c r="I225">
        <v>-0.76300539836847703</v>
      </c>
      <c r="J225">
        <v>0.44549618701832</v>
      </c>
      <c r="K225" s="2">
        <f t="shared" si="3"/>
        <v>38.428112900543816</v>
      </c>
    </row>
    <row r="226" spans="1:11" x14ac:dyDescent="0.35">
      <c r="A226">
        <v>225</v>
      </c>
      <c r="B226">
        <v>225</v>
      </c>
      <c r="C226">
        <v>5500</v>
      </c>
      <c r="D226" t="s">
        <v>9</v>
      </c>
      <c r="E226">
        <v>365.82656421514798</v>
      </c>
      <c r="F226">
        <v>511.73354421520003</v>
      </c>
      <c r="G226">
        <v>4.3458246536630103</v>
      </c>
      <c r="H226">
        <v>13.282409895392499</v>
      </c>
      <c r="I226">
        <v>0.32718645847321098</v>
      </c>
      <c r="J226">
        <v>0.74353931841436705</v>
      </c>
      <c r="K226" s="2">
        <f t="shared" si="3"/>
        <v>37.211800326783198</v>
      </c>
    </row>
    <row r="227" spans="1:11" x14ac:dyDescent="0.35">
      <c r="A227">
        <v>226</v>
      </c>
      <c r="B227">
        <v>226</v>
      </c>
      <c r="C227">
        <v>6000</v>
      </c>
      <c r="D227" t="s">
        <v>9</v>
      </c>
      <c r="E227">
        <v>380.35932669185797</v>
      </c>
      <c r="F227">
        <v>532.10602906415102</v>
      </c>
      <c r="G227">
        <v>-15.3577080450476</v>
      </c>
      <c r="H227">
        <v>13.0109345874278</v>
      </c>
      <c r="I227">
        <v>-1.1803693225763701</v>
      </c>
      <c r="J227">
        <v>0.23790016551538001</v>
      </c>
      <c r="K227" s="2">
        <f t="shared" si="3"/>
        <v>36.451239176118918</v>
      </c>
    </row>
    <row r="228" spans="1:11" x14ac:dyDescent="0.35">
      <c r="A228">
        <v>227</v>
      </c>
      <c r="B228">
        <v>227</v>
      </c>
      <c r="C228">
        <v>6500</v>
      </c>
      <c r="D228" t="s">
        <v>9</v>
      </c>
      <c r="E228">
        <v>355.98132004981301</v>
      </c>
      <c r="F228">
        <v>453.44686782118498</v>
      </c>
      <c r="G228">
        <v>33.6135704611346</v>
      </c>
      <c r="H228">
        <v>12.371034605968999</v>
      </c>
      <c r="I228">
        <v>2.7171187804224601</v>
      </c>
      <c r="J228">
        <v>6.60274372372104E-3</v>
      </c>
      <c r="K228" s="2">
        <f t="shared" si="3"/>
        <v>34.658504986563663</v>
      </c>
    </row>
    <row r="229" spans="1:11" x14ac:dyDescent="0.35">
      <c r="A229">
        <v>228</v>
      </c>
      <c r="B229">
        <v>228</v>
      </c>
      <c r="C229">
        <v>7000</v>
      </c>
      <c r="D229" t="s">
        <v>9</v>
      </c>
      <c r="E229">
        <v>375.96973293768502</v>
      </c>
      <c r="F229">
        <v>499.10684992698401</v>
      </c>
      <c r="G229">
        <v>-8.4532040120660206</v>
      </c>
      <c r="H229">
        <v>11.856496731453401</v>
      </c>
      <c r="I229">
        <v>-0.71295967126959103</v>
      </c>
      <c r="J229">
        <v>0.47589448517747002</v>
      </c>
      <c r="K229" s="2">
        <f t="shared" si="3"/>
        <v>33.21698339538888</v>
      </c>
    </row>
    <row r="230" spans="1:11" x14ac:dyDescent="0.35">
      <c r="A230">
        <v>229</v>
      </c>
      <c r="B230">
        <v>229</v>
      </c>
      <c r="C230">
        <v>7500</v>
      </c>
      <c r="D230" t="s">
        <v>9</v>
      </c>
      <c r="E230">
        <v>372.42316975060299</v>
      </c>
      <c r="F230">
        <v>528.44437215568701</v>
      </c>
      <c r="G230">
        <v>-5.2208361520882303</v>
      </c>
      <c r="H230">
        <v>11.382334400152899</v>
      </c>
      <c r="I230">
        <v>-0.45867885870741198</v>
      </c>
      <c r="J230">
        <v>0.64647809255689903</v>
      </c>
      <c r="K230" s="2">
        <f t="shared" si="3"/>
        <v>31.888577320452363</v>
      </c>
    </row>
    <row r="231" spans="1:11" x14ac:dyDescent="0.35">
      <c r="A231">
        <v>230</v>
      </c>
      <c r="B231">
        <v>230</v>
      </c>
      <c r="C231">
        <v>8000</v>
      </c>
      <c r="D231" t="s">
        <v>9</v>
      </c>
      <c r="E231">
        <v>371.25556104794902</v>
      </c>
      <c r="F231">
        <v>504.63146320736598</v>
      </c>
      <c r="G231">
        <v>-0.69081648547960595</v>
      </c>
      <c r="H231">
        <v>11.0873161113843</v>
      </c>
      <c r="I231">
        <v>-6.2306917069883699E-2</v>
      </c>
      <c r="J231">
        <v>0.950319977082138</v>
      </c>
      <c r="K231" s="2">
        <f t="shared" si="3"/>
        <v>31.062058507912589</v>
      </c>
    </row>
    <row r="232" spans="1:11" x14ac:dyDescent="0.35">
      <c r="A232">
        <v>231</v>
      </c>
      <c r="B232">
        <v>231</v>
      </c>
      <c r="C232">
        <v>8500</v>
      </c>
      <c r="D232" t="s">
        <v>9</v>
      </c>
      <c r="E232">
        <v>376.436773593677</v>
      </c>
      <c r="F232">
        <v>508.82742150344802</v>
      </c>
      <c r="G232">
        <v>-10.187369115354</v>
      </c>
      <c r="H232">
        <v>10.782166311141999</v>
      </c>
      <c r="I232">
        <v>-0.94483509355876505</v>
      </c>
      <c r="J232">
        <v>0.34476993464851302</v>
      </c>
      <c r="K232" s="2">
        <f t="shared" si="3"/>
        <v>30.207155404800762</v>
      </c>
    </row>
    <row r="233" spans="1:11" x14ac:dyDescent="0.35">
      <c r="A233">
        <v>232</v>
      </c>
      <c r="B233">
        <v>232</v>
      </c>
      <c r="C233">
        <v>9000</v>
      </c>
      <c r="D233" t="s">
        <v>9</v>
      </c>
      <c r="E233">
        <v>367.10157812847302</v>
      </c>
      <c r="F233">
        <v>480.40387322465199</v>
      </c>
      <c r="G233">
        <v>4.4083085633725503</v>
      </c>
      <c r="H233">
        <v>10.40174478752</v>
      </c>
      <c r="I233">
        <v>0.42380472251748003</v>
      </c>
      <c r="J233">
        <v>0.67171836420513298</v>
      </c>
      <c r="K233" s="2">
        <f t="shared" si="3"/>
        <v>29.141372170544223</v>
      </c>
    </row>
    <row r="234" spans="1:11" x14ac:dyDescent="0.35">
      <c r="A234">
        <v>233</v>
      </c>
      <c r="B234">
        <v>233</v>
      </c>
      <c r="C234">
        <v>9500</v>
      </c>
      <c r="D234" t="s">
        <v>9</v>
      </c>
      <c r="E234">
        <v>358.39799829642197</v>
      </c>
      <c r="F234">
        <v>484.63287800266602</v>
      </c>
      <c r="G234">
        <v>14.597630346375499</v>
      </c>
      <c r="H234">
        <v>10.010801359619499</v>
      </c>
      <c r="I234">
        <v>1.45818799334664</v>
      </c>
      <c r="J234">
        <v>0.14482179676380999</v>
      </c>
      <c r="K234" s="2">
        <f t="shared" si="3"/>
        <v>28.046110927089597</v>
      </c>
    </row>
    <row r="235" spans="1:11" x14ac:dyDescent="0.35">
      <c r="A235">
        <v>234</v>
      </c>
      <c r="B235">
        <v>234</v>
      </c>
      <c r="C235">
        <v>10000</v>
      </c>
      <c r="D235" t="s">
        <v>9</v>
      </c>
      <c r="E235">
        <v>364.33999596204302</v>
      </c>
      <c r="F235">
        <v>482.490357376171</v>
      </c>
      <c r="G235">
        <v>0.94155743601518005</v>
      </c>
      <c r="H235">
        <v>9.7668454926857198</v>
      </c>
      <c r="I235">
        <v>9.6403433096213298E-2</v>
      </c>
      <c r="J235">
        <v>0.923202097815085</v>
      </c>
      <c r="K235" s="2">
        <f t="shared" si="3"/>
        <v>27.362647829625924</v>
      </c>
    </row>
    <row r="236" spans="1:11" x14ac:dyDescent="0.35">
      <c r="A236">
        <v>235</v>
      </c>
      <c r="B236">
        <v>235</v>
      </c>
      <c r="C236">
        <v>10500</v>
      </c>
      <c r="D236" t="s">
        <v>9</v>
      </c>
      <c r="E236">
        <v>367.559757942511</v>
      </c>
      <c r="F236">
        <v>490.03317171863</v>
      </c>
      <c r="G236">
        <v>-5.3116765917822999</v>
      </c>
      <c r="H236">
        <v>9.4906643434421696</v>
      </c>
      <c r="I236">
        <v>-0.55967384363904404</v>
      </c>
      <c r="J236">
        <v>0.57571386711591999</v>
      </c>
      <c r="K236" s="2">
        <f t="shared" si="3"/>
        <v>26.588902864622433</v>
      </c>
    </row>
    <row r="237" spans="1:11" x14ac:dyDescent="0.35">
      <c r="A237">
        <v>236</v>
      </c>
      <c r="B237">
        <v>236</v>
      </c>
      <c r="C237">
        <v>11000</v>
      </c>
      <c r="D237" t="s">
        <v>9</v>
      </c>
      <c r="E237">
        <v>364.738388103543</v>
      </c>
      <c r="F237">
        <v>478.42937547356001</v>
      </c>
      <c r="G237">
        <v>2.0438917451866798</v>
      </c>
      <c r="H237">
        <v>9.2475164057343999</v>
      </c>
      <c r="I237">
        <v>0.221020613050144</v>
      </c>
      <c r="J237">
        <v>0.82508048593939298</v>
      </c>
      <c r="K237" s="2">
        <f t="shared" si="3"/>
        <v>25.907703249559411</v>
      </c>
    </row>
    <row r="238" spans="1:11" x14ac:dyDescent="0.35">
      <c r="A238">
        <v>237</v>
      </c>
      <c r="B238">
        <v>237</v>
      </c>
      <c r="C238">
        <v>11500</v>
      </c>
      <c r="D238" t="s">
        <v>9</v>
      </c>
      <c r="E238">
        <v>366.87672670047198</v>
      </c>
      <c r="F238">
        <v>486.65747296611102</v>
      </c>
      <c r="G238">
        <v>0.33396349153654098</v>
      </c>
      <c r="H238">
        <v>9.0402102628907297</v>
      </c>
      <c r="I238">
        <v>3.6942004867677902E-2</v>
      </c>
      <c r="J238">
        <v>0.97053188886080999</v>
      </c>
      <c r="K238" s="2">
        <f t="shared" si="3"/>
        <v>25.326917469360726</v>
      </c>
    </row>
    <row r="239" spans="1:11" x14ac:dyDescent="0.35">
      <c r="A239">
        <v>238</v>
      </c>
      <c r="B239">
        <v>238</v>
      </c>
      <c r="C239">
        <v>12000</v>
      </c>
      <c r="D239" t="s">
        <v>9</v>
      </c>
      <c r="E239">
        <v>367.944640161047</v>
      </c>
      <c r="F239">
        <v>479.46908448308</v>
      </c>
      <c r="G239">
        <v>1.0830134239845099</v>
      </c>
      <c r="H239">
        <v>8.9100543591739907</v>
      </c>
      <c r="I239">
        <v>0.121549586604869</v>
      </c>
      <c r="J239">
        <v>0.903257776938866</v>
      </c>
      <c r="K239" s="2">
        <f t="shared" si="3"/>
        <v>24.962274641846466</v>
      </c>
    </row>
    <row r="240" spans="1:11" x14ac:dyDescent="0.35">
      <c r="A240">
        <v>239</v>
      </c>
      <c r="B240">
        <v>239</v>
      </c>
      <c r="C240">
        <v>12500</v>
      </c>
      <c r="D240" t="s">
        <v>9</v>
      </c>
      <c r="E240">
        <v>370.76416760314697</v>
      </c>
      <c r="F240">
        <v>506.28683513909903</v>
      </c>
      <c r="G240">
        <v>-2.76209456854258</v>
      </c>
      <c r="H240">
        <v>8.8397905550761102</v>
      </c>
      <c r="I240">
        <v>-0.31246153982194702</v>
      </c>
      <c r="J240">
        <v>0.75469500063265904</v>
      </c>
      <c r="K240" s="2">
        <f t="shared" si="3"/>
        <v>24.765424622242907</v>
      </c>
    </row>
    <row r="241" spans="1:11" x14ac:dyDescent="0.35">
      <c r="A241">
        <v>240</v>
      </c>
      <c r="B241">
        <v>240</v>
      </c>
      <c r="C241">
        <v>13000</v>
      </c>
      <c r="D241" t="s">
        <v>9</v>
      </c>
      <c r="E241">
        <v>372.52471599631599</v>
      </c>
      <c r="F241">
        <v>496.59383122798101</v>
      </c>
      <c r="G241">
        <v>-4.0293413432167204</v>
      </c>
      <c r="H241">
        <v>8.6739515234530007</v>
      </c>
      <c r="I241">
        <v>-0.46453353264910602</v>
      </c>
      <c r="J241">
        <v>0.642273321295594</v>
      </c>
      <c r="K241" s="2">
        <f t="shared" si="3"/>
        <v>24.300812478833077</v>
      </c>
    </row>
    <row r="242" spans="1:11" x14ac:dyDescent="0.35">
      <c r="A242">
        <v>241</v>
      </c>
      <c r="B242">
        <v>241</v>
      </c>
      <c r="C242">
        <v>13500</v>
      </c>
      <c r="D242" t="s">
        <v>9</v>
      </c>
      <c r="E242">
        <v>372.792346484723</v>
      </c>
      <c r="F242">
        <v>508.96604167727901</v>
      </c>
      <c r="G242">
        <v>-4.4452023592413301</v>
      </c>
      <c r="H242">
        <v>8.4834658512183196</v>
      </c>
      <c r="I242">
        <v>-0.52398423441557795</v>
      </c>
      <c r="J242">
        <v>0.600298108644849</v>
      </c>
      <c r="K242" s="2">
        <f t="shared" si="3"/>
        <v>23.767150676785477</v>
      </c>
    </row>
    <row r="243" spans="1:11" x14ac:dyDescent="0.35">
      <c r="A243">
        <v>242</v>
      </c>
      <c r="B243">
        <v>242</v>
      </c>
      <c r="C243">
        <v>14000</v>
      </c>
      <c r="D243" t="s">
        <v>9</v>
      </c>
      <c r="E243">
        <v>379.46025641025602</v>
      </c>
      <c r="F243">
        <v>504.29272960482899</v>
      </c>
      <c r="G243">
        <v>-15.9950701638365</v>
      </c>
      <c r="H243">
        <v>8.3785915287422696</v>
      </c>
      <c r="I243">
        <v>-1.90904045255892</v>
      </c>
      <c r="J243">
        <v>5.6277299822703401E-2</v>
      </c>
      <c r="K243" s="2">
        <f t="shared" si="3"/>
        <v>23.473336348051415</v>
      </c>
    </row>
    <row r="244" spans="1:11" x14ac:dyDescent="0.35">
      <c r="A244">
        <v>243</v>
      </c>
      <c r="B244">
        <v>243</v>
      </c>
      <c r="C244">
        <v>1000</v>
      </c>
      <c r="D244" t="s">
        <v>9</v>
      </c>
      <c r="E244">
        <v>320.76122448979601</v>
      </c>
      <c r="F244">
        <v>395.29073213340502</v>
      </c>
      <c r="G244">
        <v>92.621128451379803</v>
      </c>
      <c r="H244">
        <v>34.910692375090903</v>
      </c>
      <c r="I244">
        <v>2.6530876974948101</v>
      </c>
      <c r="J244">
        <v>8.1025952484296299E-3</v>
      </c>
      <c r="K244" s="2">
        <f t="shared" si="3"/>
        <v>97.805272097669061</v>
      </c>
    </row>
    <row r="245" spans="1:11" x14ac:dyDescent="0.35">
      <c r="A245">
        <v>244</v>
      </c>
      <c r="B245">
        <v>244</v>
      </c>
      <c r="C245">
        <v>1500</v>
      </c>
      <c r="D245" t="s">
        <v>9</v>
      </c>
      <c r="E245">
        <v>357.44949494949498</v>
      </c>
      <c r="F245">
        <v>547.52122493745696</v>
      </c>
      <c r="G245">
        <v>24.162086971408801</v>
      </c>
      <c r="H245">
        <v>26.832330230471602</v>
      </c>
      <c r="I245">
        <v>0.90048410868056605</v>
      </c>
      <c r="J245">
        <v>0.36800741771501699</v>
      </c>
      <c r="K245" s="2">
        <f t="shared" si="3"/>
        <v>75.173053888735794</v>
      </c>
    </row>
    <row r="246" spans="1:11" x14ac:dyDescent="0.35">
      <c r="A246">
        <v>245</v>
      </c>
      <c r="B246">
        <v>245</v>
      </c>
      <c r="C246">
        <v>2000</v>
      </c>
      <c r="D246" t="s">
        <v>9</v>
      </c>
      <c r="E246">
        <v>371.40235525024502</v>
      </c>
      <c r="F246">
        <v>530.58024084838496</v>
      </c>
      <c r="G246">
        <v>2.0849026498565002</v>
      </c>
      <c r="H246">
        <v>22.990743949774</v>
      </c>
      <c r="I246">
        <v>9.0684436067454993E-2</v>
      </c>
      <c r="J246">
        <v>0.92775242783134304</v>
      </c>
      <c r="K246" s="2">
        <f t="shared" si="3"/>
        <v>64.410523388527594</v>
      </c>
    </row>
    <row r="247" spans="1:11" x14ac:dyDescent="0.35">
      <c r="A247">
        <v>246</v>
      </c>
      <c r="B247">
        <v>246</v>
      </c>
      <c r="C247">
        <v>2500</v>
      </c>
      <c r="D247" t="s">
        <v>9</v>
      </c>
      <c r="E247">
        <v>366.74427782162599</v>
      </c>
      <c r="F247">
        <v>517.13111658698995</v>
      </c>
      <c r="G247">
        <v>6.3944083097613298</v>
      </c>
      <c r="H247">
        <v>20.471125920753298</v>
      </c>
      <c r="I247">
        <v>0.31236231629442401</v>
      </c>
      <c r="J247">
        <v>0.75479125743822195</v>
      </c>
      <c r="K247" s="2">
        <f t="shared" si="3"/>
        <v>57.351599312693637</v>
      </c>
    </row>
    <row r="248" spans="1:11" x14ac:dyDescent="0.35">
      <c r="A248">
        <v>247</v>
      </c>
      <c r="B248">
        <v>247</v>
      </c>
      <c r="C248">
        <v>3000</v>
      </c>
      <c r="D248" t="s">
        <v>9</v>
      </c>
      <c r="E248">
        <v>365.77046979865798</v>
      </c>
      <c r="F248">
        <v>461.376500287174</v>
      </c>
      <c r="G248">
        <v>1.4937686119381599</v>
      </c>
      <c r="H248">
        <v>18.232421379576099</v>
      </c>
      <c r="I248">
        <v>8.1929250144003193E-2</v>
      </c>
      <c r="J248">
        <v>0.93470844348624305</v>
      </c>
      <c r="K248" s="2">
        <f t="shared" si="3"/>
        <v>51.079678250699708</v>
      </c>
    </row>
    <row r="249" spans="1:11" x14ac:dyDescent="0.35">
      <c r="A249">
        <v>248</v>
      </c>
      <c r="B249">
        <v>248</v>
      </c>
      <c r="C249">
        <v>3500</v>
      </c>
      <c r="D249" t="s">
        <v>9</v>
      </c>
      <c r="E249">
        <v>384.76327944572802</v>
      </c>
      <c r="F249">
        <v>536.38537267633296</v>
      </c>
      <c r="G249">
        <v>-28.021763608622202</v>
      </c>
      <c r="H249">
        <v>17.140629478192398</v>
      </c>
      <c r="I249">
        <v>-1.63481531668796</v>
      </c>
      <c r="J249">
        <v>0.102177747667741</v>
      </c>
      <c r="K249" s="2">
        <f t="shared" si="3"/>
        <v>48.020930436661651</v>
      </c>
    </row>
    <row r="250" spans="1:11" x14ac:dyDescent="0.35">
      <c r="A250">
        <v>249</v>
      </c>
      <c r="B250">
        <v>249</v>
      </c>
      <c r="C250">
        <v>4000</v>
      </c>
      <c r="D250" t="s">
        <v>9</v>
      </c>
      <c r="E250">
        <v>367.40303797468403</v>
      </c>
      <c r="F250">
        <v>461.20535944131501</v>
      </c>
      <c r="G250">
        <v>3.9495546179085701</v>
      </c>
      <c r="H250">
        <v>15.7257270635282</v>
      </c>
      <c r="I250">
        <v>0.25115243333127402</v>
      </c>
      <c r="J250">
        <v>0.80170916583872298</v>
      </c>
      <c r="K250" s="2">
        <f t="shared" si="3"/>
        <v>44.056961055274655</v>
      </c>
    </row>
    <row r="251" spans="1:11" x14ac:dyDescent="0.35">
      <c r="A251">
        <v>250</v>
      </c>
      <c r="B251">
        <v>250</v>
      </c>
      <c r="C251">
        <v>4500</v>
      </c>
      <c r="D251" t="s">
        <v>9</v>
      </c>
      <c r="E251">
        <v>351.53010471204198</v>
      </c>
      <c r="F251">
        <v>453.86865064644201</v>
      </c>
      <c r="G251">
        <v>31.483935143029701</v>
      </c>
      <c r="H251">
        <v>14.789702683981499</v>
      </c>
      <c r="I251">
        <v>2.1287740406796298</v>
      </c>
      <c r="J251">
        <v>3.3327145439676999E-2</v>
      </c>
      <c r="K251" s="2">
        <f t="shared" si="3"/>
        <v>41.434609193902311</v>
      </c>
    </row>
    <row r="252" spans="1:11" x14ac:dyDescent="0.35">
      <c r="A252">
        <v>251</v>
      </c>
      <c r="B252">
        <v>251</v>
      </c>
      <c r="C252">
        <v>5000</v>
      </c>
      <c r="D252" t="s">
        <v>9</v>
      </c>
      <c r="E252">
        <v>363.03495379670602</v>
      </c>
      <c r="F252">
        <v>476.28406738548898</v>
      </c>
      <c r="G252">
        <v>0.74322222878226396</v>
      </c>
      <c r="H252">
        <v>13.7177628652531</v>
      </c>
      <c r="I252">
        <v>5.41795507097469E-2</v>
      </c>
      <c r="J252">
        <v>0.95679427834893305</v>
      </c>
      <c r="K252" s="2">
        <f t="shared" si="3"/>
        <v>38.431478676850112</v>
      </c>
    </row>
    <row r="253" spans="1:11" x14ac:dyDescent="0.35">
      <c r="A253">
        <v>252</v>
      </c>
      <c r="B253">
        <v>252</v>
      </c>
      <c r="C253">
        <v>5500</v>
      </c>
      <c r="D253" t="s">
        <v>9</v>
      </c>
      <c r="E253">
        <v>371.65099457504499</v>
      </c>
      <c r="F253">
        <v>467.24121365751398</v>
      </c>
      <c r="G253">
        <v>-7.3160768419559297</v>
      </c>
      <c r="H253">
        <v>13.2826964144403</v>
      </c>
      <c r="I253">
        <v>-0.55079756501866906</v>
      </c>
      <c r="J253">
        <v>0.58179483289196998</v>
      </c>
      <c r="K253" s="2">
        <f t="shared" si="3"/>
        <v>37.212603034249732</v>
      </c>
    </row>
    <row r="254" spans="1:11" x14ac:dyDescent="0.35">
      <c r="A254">
        <v>253</v>
      </c>
      <c r="B254">
        <v>253</v>
      </c>
      <c r="C254">
        <v>6000</v>
      </c>
      <c r="D254" t="s">
        <v>9</v>
      </c>
      <c r="E254">
        <v>374.15859603509898</v>
      </c>
      <c r="F254">
        <v>508.61744018152399</v>
      </c>
      <c r="G254">
        <v>-3.50173664406219</v>
      </c>
      <c r="H254">
        <v>12.955280379554999</v>
      </c>
      <c r="I254">
        <v>-0.27029416125862799</v>
      </c>
      <c r="J254">
        <v>0.78694325639170803</v>
      </c>
      <c r="K254" s="2">
        <f t="shared" si="3"/>
        <v>36.295319182155595</v>
      </c>
    </row>
    <row r="255" spans="1:11" x14ac:dyDescent="0.35">
      <c r="A255">
        <v>254</v>
      </c>
      <c r="B255">
        <v>254</v>
      </c>
      <c r="C255">
        <v>6500</v>
      </c>
      <c r="D255" t="s">
        <v>9</v>
      </c>
      <c r="E255">
        <v>364.47610062893102</v>
      </c>
      <c r="F255">
        <v>484.70239964990401</v>
      </c>
      <c r="G255">
        <v>16.658236720466601</v>
      </c>
      <c r="H255">
        <v>12.388049324280701</v>
      </c>
      <c r="I255">
        <v>1.3447021628995599</v>
      </c>
      <c r="J255">
        <v>0.178768370190449</v>
      </c>
      <c r="K255" s="2">
        <f t="shared" si="3"/>
        <v>34.706173166164952</v>
      </c>
    </row>
    <row r="256" spans="1:11" x14ac:dyDescent="0.35">
      <c r="A256">
        <v>255</v>
      </c>
      <c r="B256">
        <v>255</v>
      </c>
      <c r="C256">
        <v>7000</v>
      </c>
      <c r="D256" t="s">
        <v>9</v>
      </c>
      <c r="E256">
        <v>370.66476462196903</v>
      </c>
      <c r="F256">
        <v>504.65279586801699</v>
      </c>
      <c r="G256">
        <v>1.8453927456991099</v>
      </c>
      <c r="H256">
        <v>11.841555420307101</v>
      </c>
      <c r="I256">
        <v>0.15584040104515601</v>
      </c>
      <c r="J256">
        <v>0.876163319187094</v>
      </c>
      <c r="K256" s="2">
        <f t="shared" si="3"/>
        <v>33.17512404220107</v>
      </c>
    </row>
    <row r="257" spans="1:11" x14ac:dyDescent="0.35">
      <c r="A257">
        <v>256</v>
      </c>
      <c r="B257">
        <v>256</v>
      </c>
      <c r="C257">
        <v>7500</v>
      </c>
      <c r="D257" t="s">
        <v>9</v>
      </c>
      <c r="E257">
        <v>373.72055674518202</v>
      </c>
      <c r="F257">
        <v>491.403573543542</v>
      </c>
      <c r="G257">
        <v>-7.8156683286031701</v>
      </c>
      <c r="H257">
        <v>11.3722548243526</v>
      </c>
      <c r="I257">
        <v>-0.68725757990110103</v>
      </c>
      <c r="J257">
        <v>0.491941681378327</v>
      </c>
      <c r="K257" s="2">
        <f t="shared" si="3"/>
        <v>31.860338532083883</v>
      </c>
    </row>
    <row r="258" spans="1:11" x14ac:dyDescent="0.35">
      <c r="A258">
        <v>257</v>
      </c>
      <c r="B258">
        <v>257</v>
      </c>
      <c r="C258">
        <v>8000</v>
      </c>
      <c r="D258" t="s">
        <v>9</v>
      </c>
      <c r="E258">
        <v>369.39291990961601</v>
      </c>
      <c r="F258">
        <v>515.515121312112</v>
      </c>
      <c r="G258">
        <v>3.0295346584706699</v>
      </c>
      <c r="H258">
        <v>11.0949706704564</v>
      </c>
      <c r="I258">
        <v>0.27305476944952101</v>
      </c>
      <c r="J258">
        <v>0.78481816454153797</v>
      </c>
      <c r="K258" s="2">
        <f t="shared" si="3"/>
        <v>31.083503405790594</v>
      </c>
    </row>
    <row r="259" spans="1:11" x14ac:dyDescent="0.35">
      <c r="A259">
        <v>258</v>
      </c>
      <c r="B259">
        <v>258</v>
      </c>
      <c r="C259">
        <v>8500</v>
      </c>
      <c r="D259" t="s">
        <v>9</v>
      </c>
      <c r="E259">
        <v>373.734097287184</v>
      </c>
      <c r="F259">
        <v>474.69303856087402</v>
      </c>
      <c r="G259">
        <v>-4.6860385750621196</v>
      </c>
      <c r="H259">
        <v>10.7942050329812</v>
      </c>
      <c r="I259">
        <v>-0.43412539976257303</v>
      </c>
      <c r="J259">
        <v>0.66420840312223794</v>
      </c>
      <c r="K259" s="2">
        <f t="shared" ref="K259:K322" si="4">H259*2.801585</f>
        <v>30.240882907324636</v>
      </c>
    </row>
    <row r="260" spans="1:11" x14ac:dyDescent="0.35">
      <c r="A260">
        <v>259</v>
      </c>
      <c r="B260">
        <v>259</v>
      </c>
      <c r="C260">
        <v>9000</v>
      </c>
      <c r="D260" t="s">
        <v>9</v>
      </c>
      <c r="E260">
        <v>372.24559471365598</v>
      </c>
      <c r="F260">
        <v>485.88077553802202</v>
      </c>
      <c r="G260">
        <v>-5.9314691531192203</v>
      </c>
      <c r="H260">
        <v>10.4049931366624</v>
      </c>
      <c r="I260">
        <v>-0.57005988136786601</v>
      </c>
      <c r="J260">
        <v>0.56865131699072702</v>
      </c>
      <c r="K260" s="2">
        <f t="shared" si="4"/>
        <v>29.150472696776333</v>
      </c>
    </row>
    <row r="261" spans="1:11" x14ac:dyDescent="0.35">
      <c r="A261">
        <v>260</v>
      </c>
      <c r="B261">
        <v>260</v>
      </c>
      <c r="C261">
        <v>9500</v>
      </c>
      <c r="D261" t="s">
        <v>9</v>
      </c>
      <c r="E261">
        <v>366.521593291405</v>
      </c>
      <c r="F261">
        <v>489.35056827362502</v>
      </c>
      <c r="G261">
        <v>-1.4898808178315399</v>
      </c>
      <c r="H261">
        <v>10.0125835069035</v>
      </c>
      <c r="I261">
        <v>-0.14880083814574999</v>
      </c>
      <c r="J261">
        <v>0.88171394826510596</v>
      </c>
      <c r="K261" s="2">
        <f t="shared" si="4"/>
        <v>28.051103764188245</v>
      </c>
    </row>
    <row r="262" spans="1:11" x14ac:dyDescent="0.35">
      <c r="A262">
        <v>261</v>
      </c>
      <c r="B262">
        <v>261</v>
      </c>
      <c r="C262">
        <v>10000</v>
      </c>
      <c r="D262" t="s">
        <v>9</v>
      </c>
      <c r="E262">
        <v>361.910728582866</v>
      </c>
      <c r="F262">
        <v>473.68973178546798</v>
      </c>
      <c r="G262">
        <v>5.8042993947517996</v>
      </c>
      <c r="H262">
        <v>9.7679682950216602</v>
      </c>
      <c r="I262">
        <v>0.59421767346542398</v>
      </c>
      <c r="J262">
        <v>0.55237997848096998</v>
      </c>
      <c r="K262" s="2">
        <f t="shared" si="4"/>
        <v>27.365793455808259</v>
      </c>
    </row>
    <row r="263" spans="1:11" x14ac:dyDescent="0.35">
      <c r="A263">
        <v>262</v>
      </c>
      <c r="B263">
        <v>262</v>
      </c>
      <c r="C263">
        <v>10500</v>
      </c>
      <c r="D263" t="s">
        <v>9</v>
      </c>
      <c r="E263">
        <v>370.36682554814098</v>
      </c>
      <c r="F263">
        <v>485.77072887836698</v>
      </c>
      <c r="G263">
        <v>-10.877006328351399</v>
      </c>
      <c r="H263">
        <v>9.4910326582570494</v>
      </c>
      <c r="I263">
        <v>-1.14602980729274</v>
      </c>
      <c r="J263">
        <v>0.25180894107676499</v>
      </c>
      <c r="K263" s="2">
        <f t="shared" si="4"/>
        <v>26.589934729883076</v>
      </c>
    </row>
    <row r="264" spans="1:11" x14ac:dyDescent="0.35">
      <c r="A264">
        <v>263</v>
      </c>
      <c r="B264">
        <v>263</v>
      </c>
      <c r="C264">
        <v>11000</v>
      </c>
      <c r="D264" t="s">
        <v>9</v>
      </c>
      <c r="E264">
        <v>370.83395956342798</v>
      </c>
      <c r="F264">
        <v>485.19963382730901</v>
      </c>
      <c r="G264">
        <v>-10.2941332836287</v>
      </c>
      <c r="H264">
        <v>9.2500347905442499</v>
      </c>
      <c r="I264">
        <v>-1.1128750882268801</v>
      </c>
      <c r="J264">
        <v>0.26578640386971703</v>
      </c>
      <c r="K264" s="2">
        <f t="shared" si="4"/>
        <v>25.914758718666913</v>
      </c>
    </row>
    <row r="265" spans="1:11" x14ac:dyDescent="0.35">
      <c r="A265">
        <v>264</v>
      </c>
      <c r="B265">
        <v>264</v>
      </c>
      <c r="C265">
        <v>11500</v>
      </c>
      <c r="D265" t="s">
        <v>9</v>
      </c>
      <c r="E265">
        <v>366.95697252462401</v>
      </c>
      <c r="F265">
        <v>487.25735615223499</v>
      </c>
      <c r="G265">
        <v>0.17640748587855801</v>
      </c>
      <c r="H265">
        <v>9.0392351419012194</v>
      </c>
      <c r="I265">
        <v>1.9515753612916201E-2</v>
      </c>
      <c r="J265">
        <v>0.98443000849736695</v>
      </c>
      <c r="K265" s="2">
        <f t="shared" si="4"/>
        <v>25.324185585023329</v>
      </c>
    </row>
    <row r="266" spans="1:11" x14ac:dyDescent="0.35">
      <c r="A266">
        <v>265</v>
      </c>
      <c r="B266">
        <v>265</v>
      </c>
      <c r="C266">
        <v>12000</v>
      </c>
      <c r="D266" t="s">
        <v>9</v>
      </c>
      <c r="E266">
        <v>374.28520091473399</v>
      </c>
      <c r="F266">
        <v>506.61104656119301</v>
      </c>
      <c r="G266">
        <v>-11.831645283566401</v>
      </c>
      <c r="H266">
        <v>8.8987199330543998</v>
      </c>
      <c r="I266">
        <v>-1.3295895783412199</v>
      </c>
      <c r="J266">
        <v>0.183678811592699</v>
      </c>
      <c r="K266" s="2">
        <f t="shared" si="4"/>
        <v>24.930520283646214</v>
      </c>
    </row>
    <row r="267" spans="1:11" x14ac:dyDescent="0.35">
      <c r="A267">
        <v>266</v>
      </c>
      <c r="B267">
        <v>266</v>
      </c>
      <c r="C267">
        <v>12500</v>
      </c>
      <c r="D267" t="s">
        <v>9</v>
      </c>
      <c r="E267">
        <v>359.04044872807702</v>
      </c>
      <c r="F267">
        <v>469.14919254086499</v>
      </c>
      <c r="G267">
        <v>20.940753670240401</v>
      </c>
      <c r="H267">
        <v>8.8480693675068505</v>
      </c>
      <c r="I267">
        <v>2.36670315302251</v>
      </c>
      <c r="J267">
        <v>1.7962476812741601E-2</v>
      </c>
      <c r="K267" s="2">
        <f t="shared" si="4"/>
        <v>24.788618418966681</v>
      </c>
    </row>
    <row r="268" spans="1:11" x14ac:dyDescent="0.35">
      <c r="A268">
        <v>267</v>
      </c>
      <c r="B268">
        <v>267</v>
      </c>
      <c r="C268">
        <v>13000</v>
      </c>
      <c r="D268" t="s">
        <v>9</v>
      </c>
      <c r="E268">
        <v>373.00793774319101</v>
      </c>
      <c r="F268">
        <v>503.53018730980801</v>
      </c>
      <c r="G268">
        <v>-4.9302191120126304</v>
      </c>
      <c r="H268">
        <v>8.6782987028189797</v>
      </c>
      <c r="I268">
        <v>-0.568108944027375</v>
      </c>
      <c r="J268">
        <v>0.56997080843042902</v>
      </c>
      <c r="K268" s="2">
        <f t="shared" si="4"/>
        <v>24.312991471337114</v>
      </c>
    </row>
    <row r="269" spans="1:11" x14ac:dyDescent="0.35">
      <c r="A269">
        <v>268</v>
      </c>
      <c r="B269">
        <v>268</v>
      </c>
      <c r="C269">
        <v>13500</v>
      </c>
      <c r="D269" t="s">
        <v>9</v>
      </c>
      <c r="E269">
        <v>367.08240864033098</v>
      </c>
      <c r="F269">
        <v>477.96958615408602</v>
      </c>
      <c r="G269">
        <v>6.9787098880772698</v>
      </c>
      <c r="H269">
        <v>8.4833397815781506</v>
      </c>
      <c r="I269">
        <v>0.82263708253579104</v>
      </c>
      <c r="J269">
        <v>0.41072893633143098</v>
      </c>
      <c r="K269" s="2">
        <f t="shared" si="4"/>
        <v>23.766797481972624</v>
      </c>
    </row>
    <row r="270" spans="1:11" x14ac:dyDescent="0.35">
      <c r="A270">
        <v>269</v>
      </c>
      <c r="B270">
        <v>269</v>
      </c>
      <c r="C270">
        <v>14000</v>
      </c>
      <c r="D270" t="s">
        <v>9</v>
      </c>
      <c r="E270">
        <v>369.90151941474397</v>
      </c>
      <c r="F270">
        <v>484.06633022077699</v>
      </c>
      <c r="G270">
        <v>3.2177493026095498</v>
      </c>
      <c r="H270">
        <v>8.3875625746366893</v>
      </c>
      <c r="I270">
        <v>0.38363341840688803</v>
      </c>
      <c r="J270">
        <v>0.70125599385816695</v>
      </c>
      <c r="K270" s="2">
        <f t="shared" si="4"/>
        <v>23.498469495663532</v>
      </c>
    </row>
    <row r="271" spans="1:11" x14ac:dyDescent="0.35">
      <c r="A271">
        <v>270</v>
      </c>
      <c r="B271">
        <v>270</v>
      </c>
      <c r="C271">
        <v>1000</v>
      </c>
      <c r="D271" t="s">
        <v>9</v>
      </c>
      <c r="E271">
        <v>361.87204724409401</v>
      </c>
      <c r="F271">
        <v>454.92916994929101</v>
      </c>
      <c r="G271">
        <v>12.451123487613</v>
      </c>
      <c r="H271">
        <v>35.566721424984898</v>
      </c>
      <c r="I271">
        <v>0.35007790959518498</v>
      </c>
      <c r="J271">
        <v>0.72635409559758801</v>
      </c>
      <c r="K271" s="2">
        <f t="shared" si="4"/>
        <v>99.64319324341632</v>
      </c>
    </row>
    <row r="272" spans="1:11" x14ac:dyDescent="0.35">
      <c r="A272">
        <v>271</v>
      </c>
      <c r="B272">
        <v>271</v>
      </c>
      <c r="C272">
        <v>1500</v>
      </c>
      <c r="D272" t="s">
        <v>10</v>
      </c>
      <c r="E272">
        <v>5.2337779999913696</v>
      </c>
      <c r="F272">
        <v>1.3894839362265201</v>
      </c>
      <c r="G272">
        <v>-5.87629962019535E-2</v>
      </c>
      <c r="H272">
        <v>7.4474377521019694E-2</v>
      </c>
      <c r="I272">
        <v>-0.78903641974541106</v>
      </c>
      <c r="J272">
        <v>0.43021557952572098</v>
      </c>
      <c r="K272" s="6">
        <f t="shared" si="4"/>
        <v>0.20864629894722597</v>
      </c>
    </row>
    <row r="273" spans="1:11" x14ac:dyDescent="0.35">
      <c r="A273">
        <v>272</v>
      </c>
      <c r="B273">
        <v>272</v>
      </c>
      <c r="C273">
        <v>2000</v>
      </c>
      <c r="D273" t="s">
        <v>10</v>
      </c>
      <c r="E273">
        <v>5.2271008103111898</v>
      </c>
      <c r="F273">
        <v>1.4352240730103101</v>
      </c>
      <c r="G273">
        <v>-3.2311906449841298E-2</v>
      </c>
      <c r="H273">
        <v>6.4503129113153299E-2</v>
      </c>
      <c r="I273">
        <v>-0.50093548784523001</v>
      </c>
      <c r="J273">
        <v>0.61647170541350504</v>
      </c>
      <c r="K273" s="6">
        <f t="shared" si="4"/>
        <v>0.18071099897647361</v>
      </c>
    </row>
    <row r="274" spans="1:11" x14ac:dyDescent="0.35">
      <c r="A274">
        <v>273</v>
      </c>
      <c r="B274">
        <v>273</v>
      </c>
      <c r="C274">
        <v>2500</v>
      </c>
      <c r="D274" t="s">
        <v>10</v>
      </c>
      <c r="E274">
        <v>5.2014129133192597</v>
      </c>
      <c r="F274">
        <v>1.4836299531691299</v>
      </c>
      <c r="G274">
        <v>-4.7352719834903396E-3</v>
      </c>
      <c r="H274">
        <v>5.7880540510531903E-2</v>
      </c>
      <c r="I274">
        <v>-8.18111223862657E-2</v>
      </c>
      <c r="J274">
        <v>0.93480346557257699</v>
      </c>
      <c r="K274" s="6">
        <f t="shared" si="4"/>
        <v>0.16215725408619852</v>
      </c>
    </row>
    <row r="275" spans="1:11" x14ac:dyDescent="0.35">
      <c r="A275">
        <v>274</v>
      </c>
      <c r="B275">
        <v>274</v>
      </c>
      <c r="C275">
        <v>3000</v>
      </c>
      <c r="D275" t="s">
        <v>10</v>
      </c>
      <c r="E275">
        <v>5.22109043463613</v>
      </c>
      <c r="F275">
        <v>1.4203054038859999</v>
      </c>
      <c r="G275">
        <v>-4.29873846899686E-2</v>
      </c>
      <c r="H275">
        <v>5.2423162488339697E-2</v>
      </c>
      <c r="I275">
        <v>-0.82000746711017602</v>
      </c>
      <c r="J275">
        <v>0.41227703814419597</v>
      </c>
      <c r="K275" s="6">
        <f t="shared" si="4"/>
        <v>0.1468679456798952</v>
      </c>
    </row>
    <row r="276" spans="1:11" x14ac:dyDescent="0.35">
      <c r="A276">
        <v>275</v>
      </c>
      <c r="B276">
        <v>275</v>
      </c>
      <c r="C276">
        <v>3500</v>
      </c>
      <c r="D276" t="s">
        <v>10</v>
      </c>
      <c r="E276">
        <v>5.2134173501178402</v>
      </c>
      <c r="F276">
        <v>1.4616535828085799</v>
      </c>
      <c r="G276">
        <v>-2.2589720904443899E-2</v>
      </c>
      <c r="H276">
        <v>4.8925306024453198E-2</v>
      </c>
      <c r="I276">
        <v>-0.46171854077219998</v>
      </c>
      <c r="J276">
        <v>0.64431188468922096</v>
      </c>
      <c r="K276" s="6">
        <f t="shared" si="4"/>
        <v>0.13706840347851773</v>
      </c>
    </row>
    <row r="277" spans="1:11" x14ac:dyDescent="0.35">
      <c r="A277">
        <v>276</v>
      </c>
      <c r="B277">
        <v>276</v>
      </c>
      <c r="C277">
        <v>4000</v>
      </c>
      <c r="D277" t="s">
        <v>10</v>
      </c>
      <c r="E277">
        <v>5.1930857796029803</v>
      </c>
      <c r="F277">
        <v>1.45991110479382</v>
      </c>
      <c r="G277">
        <v>2.59308967323751E-2</v>
      </c>
      <c r="H277">
        <v>4.5729124947619597E-2</v>
      </c>
      <c r="I277">
        <v>0.56705429552998599</v>
      </c>
      <c r="J277">
        <v>0.57070912838996801</v>
      </c>
      <c r="K277" s="6">
        <f t="shared" si="4"/>
        <v>0.12811403051637685</v>
      </c>
    </row>
    <row r="278" spans="1:11" x14ac:dyDescent="0.35">
      <c r="A278">
        <v>277</v>
      </c>
      <c r="B278">
        <v>277</v>
      </c>
      <c r="C278">
        <v>4500</v>
      </c>
      <c r="D278" t="s">
        <v>10</v>
      </c>
      <c r="E278">
        <v>5.2101574190950997</v>
      </c>
      <c r="F278">
        <v>1.42608463960751</v>
      </c>
      <c r="G278">
        <v>-1.4548833099732299E-2</v>
      </c>
      <c r="H278">
        <v>4.2934845782639397E-2</v>
      </c>
      <c r="I278">
        <v>-0.33885839891883601</v>
      </c>
      <c r="J278">
        <v>0.73473222259193705</v>
      </c>
      <c r="K278" s="6">
        <f t="shared" si="4"/>
        <v>0.1202856199219558</v>
      </c>
    </row>
    <row r="279" spans="1:11" x14ac:dyDescent="0.35">
      <c r="A279">
        <v>278</v>
      </c>
      <c r="B279">
        <v>278</v>
      </c>
      <c r="C279">
        <v>5000</v>
      </c>
      <c r="D279" t="s">
        <v>10</v>
      </c>
      <c r="E279">
        <v>5.21421724495017</v>
      </c>
      <c r="F279">
        <v>1.4113610409153501</v>
      </c>
      <c r="G279">
        <v>-2.6400419175462101E-2</v>
      </c>
      <c r="H279">
        <v>4.0529804198576401E-2</v>
      </c>
      <c r="I279">
        <v>-0.65138284522947199</v>
      </c>
      <c r="J279">
        <v>0.51482932982194596</v>
      </c>
      <c r="K279" s="6">
        <f t="shared" si="4"/>
        <v>0.11354769149566868</v>
      </c>
    </row>
    <row r="280" spans="1:11" x14ac:dyDescent="0.35">
      <c r="A280">
        <v>279</v>
      </c>
      <c r="B280">
        <v>279</v>
      </c>
      <c r="C280">
        <v>5500</v>
      </c>
      <c r="D280" t="s">
        <v>10</v>
      </c>
      <c r="E280">
        <v>5.2302826383720999</v>
      </c>
      <c r="F280">
        <v>1.41134412208146</v>
      </c>
      <c r="G280">
        <v>-4.0621935417202298E-2</v>
      </c>
      <c r="H280">
        <v>3.8586125867967898E-2</v>
      </c>
      <c r="I280">
        <v>-1.05276014379366</v>
      </c>
      <c r="J280">
        <v>0.292497200945109</v>
      </c>
      <c r="K280" s="6">
        <f t="shared" si="4"/>
        <v>0.10810231143981085</v>
      </c>
    </row>
    <row r="281" spans="1:11" x14ac:dyDescent="0.35">
      <c r="A281">
        <v>280</v>
      </c>
      <c r="B281">
        <v>280</v>
      </c>
      <c r="C281">
        <v>6000</v>
      </c>
      <c r="D281" t="s">
        <v>10</v>
      </c>
      <c r="E281">
        <v>5.2305239945999604</v>
      </c>
      <c r="F281">
        <v>1.42134682234903</v>
      </c>
      <c r="G281">
        <v>-2.15980022846557E-2</v>
      </c>
      <c r="H281">
        <v>3.6999127507515897E-2</v>
      </c>
      <c r="I281">
        <v>-0.58374355666274402</v>
      </c>
      <c r="J281">
        <v>0.55941480816580702</v>
      </c>
      <c r="K281" s="6">
        <f t="shared" si="4"/>
        <v>0.10365620063814393</v>
      </c>
    </row>
    <row r="282" spans="1:11" x14ac:dyDescent="0.35">
      <c r="A282">
        <v>281</v>
      </c>
      <c r="B282">
        <v>281</v>
      </c>
      <c r="C282">
        <v>6500</v>
      </c>
      <c r="D282" t="s">
        <v>10</v>
      </c>
      <c r="E282">
        <v>5.2089558358137102</v>
      </c>
      <c r="F282">
        <v>1.4211702265070301</v>
      </c>
      <c r="G282">
        <v>2.5406305044291599E-2</v>
      </c>
      <c r="H282">
        <v>3.5563276637929499E-2</v>
      </c>
      <c r="I282">
        <v>0.71439719413241298</v>
      </c>
      <c r="J282">
        <v>0.47500726817715</v>
      </c>
      <c r="K282" s="6">
        <f t="shared" si="4"/>
        <v>9.9633542379673729E-2</v>
      </c>
    </row>
    <row r="283" spans="1:11" x14ac:dyDescent="0.35">
      <c r="A283">
        <v>282</v>
      </c>
      <c r="B283">
        <v>282</v>
      </c>
      <c r="C283">
        <v>7000</v>
      </c>
      <c r="D283" t="s">
        <v>10</v>
      </c>
      <c r="E283">
        <v>5.2043744332547597</v>
      </c>
      <c r="F283">
        <v>1.4547594363719001</v>
      </c>
      <c r="G283">
        <v>3.2985010175060898E-2</v>
      </c>
      <c r="H283">
        <v>3.4237926314518101E-2</v>
      </c>
      <c r="I283">
        <v>0.963405606754697</v>
      </c>
      <c r="J283">
        <v>0.33537730233839802</v>
      </c>
      <c r="K283" s="6">
        <f t="shared" si="4"/>
        <v>9.59204607938592E-2</v>
      </c>
    </row>
    <row r="284" spans="1:11" x14ac:dyDescent="0.35">
      <c r="A284">
        <v>283</v>
      </c>
      <c r="B284">
        <v>283</v>
      </c>
      <c r="C284">
        <v>7500</v>
      </c>
      <c r="D284" t="s">
        <v>10</v>
      </c>
      <c r="E284">
        <v>5.2321717612266196</v>
      </c>
      <c r="F284">
        <v>1.4059729447309599</v>
      </c>
      <c r="G284">
        <v>-2.64785681073148E-2</v>
      </c>
      <c r="H284">
        <v>3.2979558518009502E-2</v>
      </c>
      <c r="I284">
        <v>-0.80287818567539004</v>
      </c>
      <c r="J284">
        <v>0.42207059403481401</v>
      </c>
      <c r="K284" s="6">
        <f t="shared" si="4"/>
        <v>9.2395036450677662E-2</v>
      </c>
    </row>
    <row r="285" spans="1:11" x14ac:dyDescent="0.35">
      <c r="A285">
        <v>284</v>
      </c>
      <c r="B285">
        <v>284</v>
      </c>
      <c r="C285">
        <v>8000</v>
      </c>
      <c r="D285" t="s">
        <v>10</v>
      </c>
      <c r="E285">
        <v>5.2266697809154996</v>
      </c>
      <c r="F285">
        <v>1.4199689807801601</v>
      </c>
      <c r="G285">
        <v>-1.22970705947297E-2</v>
      </c>
      <c r="H285">
        <v>3.1871863397075498E-2</v>
      </c>
      <c r="I285">
        <v>-0.38582841679279001</v>
      </c>
      <c r="J285">
        <v>0.69963401011799198</v>
      </c>
      <c r="K285" s="6">
        <f t="shared" si="4"/>
        <v>8.9291734415295768E-2</v>
      </c>
    </row>
    <row r="286" spans="1:11" x14ac:dyDescent="0.35">
      <c r="A286">
        <v>285</v>
      </c>
      <c r="B286">
        <v>285</v>
      </c>
      <c r="C286">
        <v>8500</v>
      </c>
      <c r="D286" t="s">
        <v>10</v>
      </c>
      <c r="E286">
        <v>5.2294830014735796</v>
      </c>
      <c r="F286">
        <v>1.4214921137491401</v>
      </c>
      <c r="G286">
        <v>-1.96637037666967E-2</v>
      </c>
      <c r="H286">
        <v>3.0962661602685401E-2</v>
      </c>
      <c r="I286">
        <v>-0.63507795353714802</v>
      </c>
      <c r="J286">
        <v>0.52539467347437596</v>
      </c>
      <c r="K286" s="6">
        <f t="shared" si="4"/>
        <v>8.6744528306159391E-2</v>
      </c>
    </row>
    <row r="287" spans="1:11" x14ac:dyDescent="0.35">
      <c r="A287">
        <v>286</v>
      </c>
      <c r="B287">
        <v>286</v>
      </c>
      <c r="C287">
        <v>9000</v>
      </c>
      <c r="D287" t="s">
        <v>10</v>
      </c>
      <c r="E287">
        <v>5.2273133671702103</v>
      </c>
      <c r="F287">
        <v>1.41900067295778</v>
      </c>
      <c r="G287">
        <v>-2.5161202002635701E-2</v>
      </c>
      <c r="H287">
        <v>3.0102633932801E-2</v>
      </c>
      <c r="I287">
        <v>-0.83584719060809598</v>
      </c>
      <c r="J287">
        <v>0.40326306899081898</v>
      </c>
      <c r="K287" s="6">
        <f t="shared" si="4"/>
        <v>8.4335087686626301E-2</v>
      </c>
    </row>
    <row r="288" spans="1:11" x14ac:dyDescent="0.35">
      <c r="A288">
        <v>287</v>
      </c>
      <c r="B288">
        <v>287</v>
      </c>
      <c r="C288">
        <v>9500</v>
      </c>
      <c r="D288" t="s">
        <v>10</v>
      </c>
      <c r="E288">
        <v>5.19703075498375</v>
      </c>
      <c r="F288">
        <v>1.4219141541301401</v>
      </c>
      <c r="G288">
        <v>1.9186701646216098E-2</v>
      </c>
      <c r="H288">
        <v>2.9269511771791702E-2</v>
      </c>
      <c r="I288">
        <v>0.65551833579633401</v>
      </c>
      <c r="J288">
        <v>0.51214996175683603</v>
      </c>
      <c r="K288" s="6">
        <f t="shared" si="4"/>
        <v>8.2001025137175054E-2</v>
      </c>
    </row>
    <row r="289" spans="1:11" x14ac:dyDescent="0.35">
      <c r="A289">
        <v>288</v>
      </c>
      <c r="B289">
        <v>288</v>
      </c>
      <c r="C289">
        <v>10000</v>
      </c>
      <c r="D289" t="s">
        <v>10</v>
      </c>
      <c r="E289">
        <v>5.17140436720317</v>
      </c>
      <c r="F289">
        <v>1.4833709867196601</v>
      </c>
      <c r="G289">
        <v>6.8714826593787595E-2</v>
      </c>
      <c r="H289">
        <v>2.8523685400037899E-2</v>
      </c>
      <c r="I289">
        <v>2.40904447058921</v>
      </c>
      <c r="J289">
        <v>1.60123134460846E-2</v>
      </c>
      <c r="K289" s="6">
        <f t="shared" si="4"/>
        <v>7.9911529161465183E-2</v>
      </c>
    </row>
    <row r="290" spans="1:11" x14ac:dyDescent="0.35">
      <c r="A290">
        <v>289</v>
      </c>
      <c r="B290">
        <v>289</v>
      </c>
      <c r="C290">
        <v>10500</v>
      </c>
      <c r="D290" t="s">
        <v>10</v>
      </c>
      <c r="E290">
        <v>5.2033531277835596</v>
      </c>
      <c r="F290">
        <v>1.4285086412116199</v>
      </c>
      <c r="G290">
        <v>1.32248378080317E-2</v>
      </c>
      <c r="H290">
        <v>2.77358217652726E-2</v>
      </c>
      <c r="I290">
        <v>0.47681434932604899</v>
      </c>
      <c r="J290">
        <v>0.63350425152110701</v>
      </c>
      <c r="K290" s="6">
        <f t="shared" si="4"/>
        <v>7.7704262220261236E-2</v>
      </c>
    </row>
    <row r="291" spans="1:11" x14ac:dyDescent="0.35">
      <c r="A291">
        <v>290</v>
      </c>
      <c r="B291">
        <v>290</v>
      </c>
      <c r="C291">
        <v>11000</v>
      </c>
      <c r="D291" t="s">
        <v>10</v>
      </c>
      <c r="E291">
        <v>5.2080882169081999</v>
      </c>
      <c r="F291">
        <v>1.4230791953381501</v>
      </c>
      <c r="G291">
        <v>1.0087886112305501E-2</v>
      </c>
      <c r="H291">
        <v>2.7071093378769E-2</v>
      </c>
      <c r="I291">
        <v>0.37264420654014302</v>
      </c>
      <c r="J291">
        <v>0.70942044755178202</v>
      </c>
      <c r="K291" s="6">
        <f t="shared" si="4"/>
        <v>7.5841969143558549E-2</v>
      </c>
    </row>
    <row r="292" spans="1:11" x14ac:dyDescent="0.35">
      <c r="A292">
        <v>291</v>
      </c>
      <c r="B292">
        <v>291</v>
      </c>
      <c r="C292">
        <v>11500</v>
      </c>
      <c r="D292" t="s">
        <v>10</v>
      </c>
      <c r="E292">
        <v>5.1935321634144698</v>
      </c>
      <c r="F292">
        <v>1.4294352917351201</v>
      </c>
      <c r="G292">
        <v>4.6399339259844803E-2</v>
      </c>
      <c r="H292">
        <v>2.64471313973513E-2</v>
      </c>
      <c r="I292">
        <v>1.75441860074441</v>
      </c>
      <c r="J292">
        <v>7.9385441958871802E-2</v>
      </c>
      <c r="K292" s="6">
        <f t="shared" si="4"/>
        <v>7.4093886615848453E-2</v>
      </c>
    </row>
    <row r="293" spans="1:11" x14ac:dyDescent="0.35">
      <c r="A293">
        <v>292</v>
      </c>
      <c r="B293">
        <v>292</v>
      </c>
      <c r="C293">
        <v>12000</v>
      </c>
      <c r="D293" t="s">
        <v>10</v>
      </c>
      <c r="E293">
        <v>5.2237643735393799</v>
      </c>
      <c r="F293">
        <v>1.4178720137543701</v>
      </c>
      <c r="G293">
        <v>-7.0320740188097204E-3</v>
      </c>
      <c r="H293">
        <v>2.58607390343806E-2</v>
      </c>
      <c r="I293">
        <v>-0.27192084531926602</v>
      </c>
      <c r="J293">
        <v>0.78568756149069896</v>
      </c>
      <c r="K293" s="6">
        <f t="shared" si="4"/>
        <v>7.2451058567635174E-2</v>
      </c>
    </row>
    <row r="294" spans="1:11" x14ac:dyDescent="0.35">
      <c r="A294">
        <v>293</v>
      </c>
      <c r="B294">
        <v>293</v>
      </c>
      <c r="C294">
        <v>12500</v>
      </c>
      <c r="D294" t="s">
        <v>10</v>
      </c>
      <c r="E294">
        <v>5.2178316609428101</v>
      </c>
      <c r="F294">
        <v>1.4113362720191001</v>
      </c>
      <c r="G294">
        <v>4.6663958657977098E-3</v>
      </c>
      <c r="H294">
        <v>2.53382607543708E-2</v>
      </c>
      <c r="I294">
        <v>0.18416401626906301</v>
      </c>
      <c r="J294">
        <v>0.85388777533232196</v>
      </c>
      <c r="K294" s="6">
        <f t="shared" si="4"/>
        <v>7.0987291255533921E-2</v>
      </c>
    </row>
    <row r="295" spans="1:11" x14ac:dyDescent="0.35">
      <c r="A295">
        <v>294</v>
      </c>
      <c r="B295">
        <v>294</v>
      </c>
      <c r="C295">
        <v>13000</v>
      </c>
      <c r="D295" t="s">
        <v>10</v>
      </c>
      <c r="E295">
        <v>5.2216311655203498</v>
      </c>
      <c r="F295">
        <v>1.4060043580436401</v>
      </c>
      <c r="G295">
        <v>3.7489513934650101E-3</v>
      </c>
      <c r="H295">
        <v>2.4816268437759699E-2</v>
      </c>
      <c r="I295">
        <v>0.15106829630198201</v>
      </c>
      <c r="J295">
        <v>0.87992418564561703</v>
      </c>
      <c r="K295" s="6">
        <f t="shared" si="4"/>
        <v>6.9524885411201012E-2</v>
      </c>
    </row>
    <row r="296" spans="1:11" x14ac:dyDescent="0.35">
      <c r="A296">
        <v>295</v>
      </c>
      <c r="B296">
        <v>295</v>
      </c>
      <c r="C296">
        <v>13500</v>
      </c>
      <c r="D296" t="s">
        <v>10</v>
      </c>
      <c r="E296">
        <v>5.2329530537650797</v>
      </c>
      <c r="F296">
        <v>1.4061920078230601</v>
      </c>
      <c r="G296">
        <v>-1.9609523253947998E-2</v>
      </c>
      <c r="H296">
        <v>2.4379094590002801E-2</v>
      </c>
      <c r="I296">
        <v>-0.80435814306202003</v>
      </c>
      <c r="J296">
        <v>0.42120433351513098</v>
      </c>
      <c r="K296" s="6">
        <f t="shared" si="4"/>
        <v>6.8300105716932999E-2</v>
      </c>
    </row>
    <row r="297" spans="1:11" x14ac:dyDescent="0.35">
      <c r="A297">
        <v>296</v>
      </c>
      <c r="B297">
        <v>296</v>
      </c>
      <c r="C297">
        <v>14000</v>
      </c>
      <c r="D297" t="s">
        <v>10</v>
      </c>
      <c r="E297">
        <v>5.2294354011542401</v>
      </c>
      <c r="F297">
        <v>1.4083945560121001</v>
      </c>
      <c r="G297">
        <v>-9.5954796850987595E-3</v>
      </c>
      <c r="H297">
        <v>2.3940038905067799E-2</v>
      </c>
      <c r="I297">
        <v>-0.40081303640101901</v>
      </c>
      <c r="J297">
        <v>0.68856389756973402</v>
      </c>
      <c r="K297" s="6">
        <f t="shared" si="4"/>
        <v>6.7070053895854367E-2</v>
      </c>
    </row>
    <row r="298" spans="1:11" x14ac:dyDescent="0.35">
      <c r="A298">
        <v>297</v>
      </c>
      <c r="B298">
        <v>297</v>
      </c>
      <c r="C298">
        <v>1000</v>
      </c>
      <c r="D298" t="s">
        <v>10</v>
      </c>
      <c r="E298">
        <v>5.2188458105791504</v>
      </c>
      <c r="F298">
        <v>1.4859215890122</v>
      </c>
      <c r="G298">
        <v>-0.105945563119233</v>
      </c>
      <c r="H298">
        <v>9.3558774898961999E-2</v>
      </c>
      <c r="I298">
        <v>-1.13239579327164</v>
      </c>
      <c r="J298">
        <v>0.25774006462549798</v>
      </c>
      <c r="K298" s="6">
        <f t="shared" si="4"/>
        <v>0.26211286037530845</v>
      </c>
    </row>
    <row r="299" spans="1:11" x14ac:dyDescent="0.35">
      <c r="A299">
        <v>298</v>
      </c>
      <c r="B299">
        <v>298</v>
      </c>
      <c r="C299">
        <v>1500</v>
      </c>
      <c r="D299" t="s">
        <v>10</v>
      </c>
      <c r="E299">
        <v>5.23013089528071</v>
      </c>
      <c r="F299">
        <v>1.4229315359482799</v>
      </c>
      <c r="G299">
        <v>-5.2032776691361499E-2</v>
      </c>
      <c r="H299">
        <v>7.4505848235826497E-2</v>
      </c>
      <c r="I299">
        <v>-0.698371710723525</v>
      </c>
      <c r="J299">
        <v>0.48505315948449401</v>
      </c>
      <c r="K299" s="6">
        <f t="shared" si="4"/>
        <v>0.20873446682976798</v>
      </c>
    </row>
    <row r="300" spans="1:11" x14ac:dyDescent="0.35">
      <c r="A300">
        <v>299</v>
      </c>
      <c r="B300">
        <v>299</v>
      </c>
      <c r="C300">
        <v>2000</v>
      </c>
      <c r="D300" t="s">
        <v>10</v>
      </c>
      <c r="E300">
        <v>5.2015344437808304</v>
      </c>
      <c r="F300">
        <v>1.47355859363769</v>
      </c>
      <c r="G300">
        <v>1.8944497148819801E-2</v>
      </c>
      <c r="H300">
        <v>6.4508057462896007E-2</v>
      </c>
      <c r="I300">
        <v>0.29367644746885102</v>
      </c>
      <c r="J300">
        <v>0.76903565504813998</v>
      </c>
      <c r="K300" s="6">
        <f t="shared" si="4"/>
        <v>0.18072480616718753</v>
      </c>
    </row>
    <row r="301" spans="1:11" x14ac:dyDescent="0.35">
      <c r="A301">
        <v>300</v>
      </c>
      <c r="B301">
        <v>300</v>
      </c>
      <c r="C301">
        <v>2500</v>
      </c>
      <c r="D301" t="s">
        <v>10</v>
      </c>
      <c r="E301">
        <v>5.2498872567698998</v>
      </c>
      <c r="F301">
        <v>1.4850734308381801</v>
      </c>
      <c r="G301">
        <v>-9.9138438425882505E-2</v>
      </c>
      <c r="H301">
        <v>5.7950109162321697E-2</v>
      </c>
      <c r="I301">
        <v>-1.7107549900931101</v>
      </c>
      <c r="J301">
        <v>8.7250509982983504E-2</v>
      </c>
      <c r="K301" s="6">
        <f t="shared" si="4"/>
        <v>0.16235215657752305</v>
      </c>
    </row>
    <row r="302" spans="1:11" x14ac:dyDescent="0.35">
      <c r="A302">
        <v>301</v>
      </c>
      <c r="B302">
        <v>301</v>
      </c>
      <c r="C302">
        <v>3000</v>
      </c>
      <c r="D302" t="s">
        <v>10</v>
      </c>
      <c r="E302">
        <v>5.2138032127213103</v>
      </c>
      <c r="F302">
        <v>1.4565995803645699</v>
      </c>
      <c r="G302">
        <v>-2.6232431671323001E-2</v>
      </c>
      <c r="H302">
        <v>5.2389115201645298E-2</v>
      </c>
      <c r="I302">
        <v>-0.50072293777733401</v>
      </c>
      <c r="J302">
        <v>0.61660288390728701</v>
      </c>
      <c r="K302" s="6">
        <f t="shared" si="4"/>
        <v>0.14677255931220146</v>
      </c>
    </row>
    <row r="303" spans="1:11" x14ac:dyDescent="0.35">
      <c r="A303">
        <v>302</v>
      </c>
      <c r="B303">
        <v>302</v>
      </c>
      <c r="C303">
        <v>3500</v>
      </c>
      <c r="D303" t="s">
        <v>10</v>
      </c>
      <c r="E303">
        <v>5.2047541221080698</v>
      </c>
      <c r="F303">
        <v>1.4346438628459599</v>
      </c>
      <c r="G303">
        <v>-4.9253183220851404E-3</v>
      </c>
      <c r="H303">
        <v>4.8931916284669197E-2</v>
      </c>
      <c r="I303">
        <v>-0.100656559073455</v>
      </c>
      <c r="J303">
        <v>0.91982886552418797</v>
      </c>
      <c r="K303" s="6">
        <f t="shared" si="4"/>
        <v>0.13708692268438497</v>
      </c>
    </row>
    <row r="304" spans="1:11" x14ac:dyDescent="0.35">
      <c r="A304">
        <v>303</v>
      </c>
      <c r="B304">
        <v>303</v>
      </c>
      <c r="C304">
        <v>4000</v>
      </c>
      <c r="D304" t="s">
        <v>10</v>
      </c>
      <c r="E304">
        <v>5.1873919809649296</v>
      </c>
      <c r="F304">
        <v>1.4069590687059399</v>
      </c>
      <c r="G304">
        <v>3.7141509803888202E-2</v>
      </c>
      <c r="H304">
        <v>4.5758580348809301E-2</v>
      </c>
      <c r="I304">
        <v>0.81168404965287899</v>
      </c>
      <c r="J304">
        <v>0.417021270507343</v>
      </c>
      <c r="K304" s="6">
        <f t="shared" si="4"/>
        <v>0.12819655232651891</v>
      </c>
    </row>
    <row r="305" spans="1:11" x14ac:dyDescent="0.35">
      <c r="A305">
        <v>304</v>
      </c>
      <c r="B305">
        <v>304</v>
      </c>
      <c r="C305">
        <v>4500</v>
      </c>
      <c r="D305" t="s">
        <v>10</v>
      </c>
      <c r="E305">
        <v>5.1894227601136196</v>
      </c>
      <c r="F305">
        <v>1.4391612097898301</v>
      </c>
      <c r="G305">
        <v>2.5917151674467901E-2</v>
      </c>
      <c r="H305">
        <v>4.29625539174677E-2</v>
      </c>
      <c r="I305">
        <v>0.603249791068182</v>
      </c>
      <c r="J305">
        <v>0.54637294499884004</v>
      </c>
      <c r="K305" s="6">
        <f t="shared" si="4"/>
        <v>0.12036324661686876</v>
      </c>
    </row>
    <row r="306" spans="1:11" x14ac:dyDescent="0.35">
      <c r="A306">
        <v>305</v>
      </c>
      <c r="B306">
        <v>305</v>
      </c>
      <c r="C306">
        <v>5000</v>
      </c>
      <c r="D306" t="s">
        <v>10</v>
      </c>
      <c r="E306">
        <v>5.2009235789764396</v>
      </c>
      <c r="F306">
        <v>1.43066222743455</v>
      </c>
      <c r="G306">
        <v>7.4197730933270496E-4</v>
      </c>
      <c r="H306">
        <v>4.0500420660478299E-2</v>
      </c>
      <c r="I306">
        <v>1.8320237104518598E-2</v>
      </c>
      <c r="J306">
        <v>0.98538411456901098</v>
      </c>
      <c r="K306" s="6">
        <f t="shared" si="4"/>
        <v>0.1134653710160861</v>
      </c>
    </row>
    <row r="307" spans="1:11" x14ac:dyDescent="0.35">
      <c r="A307">
        <v>306</v>
      </c>
      <c r="B307">
        <v>306</v>
      </c>
      <c r="C307">
        <v>5500</v>
      </c>
      <c r="D307" t="s">
        <v>10</v>
      </c>
      <c r="E307">
        <v>5.1847072534205001</v>
      </c>
      <c r="F307">
        <v>1.4430840384385299</v>
      </c>
      <c r="G307">
        <v>4.9302396573381202E-2</v>
      </c>
      <c r="H307">
        <v>3.8613810642677701E-2</v>
      </c>
      <c r="I307">
        <v>1.27680733273421</v>
      </c>
      <c r="J307">
        <v>0.20172419899828001</v>
      </c>
      <c r="K307" s="6">
        <f t="shared" si="4"/>
        <v>0.10817987268936621</v>
      </c>
    </row>
    <row r="308" spans="1:11" x14ac:dyDescent="0.35">
      <c r="A308">
        <v>307</v>
      </c>
      <c r="B308">
        <v>307</v>
      </c>
      <c r="C308">
        <v>6000</v>
      </c>
      <c r="D308" t="s">
        <v>10</v>
      </c>
      <c r="E308">
        <v>5.2305015693524401</v>
      </c>
      <c r="F308">
        <v>1.44836797722586</v>
      </c>
      <c r="G308">
        <v>-2.11088869333096E-2</v>
      </c>
      <c r="H308">
        <v>3.7019806627156197E-2</v>
      </c>
      <c r="I308">
        <v>-0.57020521867947804</v>
      </c>
      <c r="J308">
        <v>0.56855987445863598</v>
      </c>
      <c r="K308" s="6">
        <f t="shared" si="4"/>
        <v>0.1037141349495414</v>
      </c>
    </row>
    <row r="309" spans="1:11" x14ac:dyDescent="0.35">
      <c r="A309">
        <v>308</v>
      </c>
      <c r="B309">
        <v>308</v>
      </c>
      <c r="C309">
        <v>6500</v>
      </c>
      <c r="D309" t="s">
        <v>10</v>
      </c>
      <c r="E309">
        <v>5.2043623060486501</v>
      </c>
      <c r="F309">
        <v>1.44325928613443</v>
      </c>
      <c r="G309">
        <v>3.3743223511173502E-2</v>
      </c>
      <c r="H309">
        <v>3.55620588736223E-2</v>
      </c>
      <c r="I309">
        <v>0.94885461022061601</v>
      </c>
      <c r="J309">
        <v>0.34272984904880999</v>
      </c>
      <c r="K309" s="6">
        <f t="shared" si="4"/>
        <v>9.9630130709457143E-2</v>
      </c>
    </row>
    <row r="310" spans="1:11" x14ac:dyDescent="0.35">
      <c r="A310">
        <v>309</v>
      </c>
      <c r="B310">
        <v>309</v>
      </c>
      <c r="C310">
        <v>7000</v>
      </c>
      <c r="D310" t="s">
        <v>10</v>
      </c>
      <c r="E310">
        <v>5.2315644682989504</v>
      </c>
      <c r="F310">
        <v>1.4067136969373799</v>
      </c>
      <c r="G310">
        <v>-2.2594965137177299E-2</v>
      </c>
      <c r="H310">
        <v>3.4288031296447197E-2</v>
      </c>
      <c r="I310">
        <v>-0.65897528329421895</v>
      </c>
      <c r="J310">
        <v>0.50993332230571098</v>
      </c>
      <c r="K310" s="6">
        <f t="shared" si="4"/>
        <v>9.6060834159657021E-2</v>
      </c>
    </row>
    <row r="311" spans="1:11" x14ac:dyDescent="0.35">
      <c r="A311">
        <v>310</v>
      </c>
      <c r="B311">
        <v>310</v>
      </c>
      <c r="C311">
        <v>7500</v>
      </c>
      <c r="D311" t="s">
        <v>10</v>
      </c>
      <c r="E311">
        <v>5.2307506436679603</v>
      </c>
      <c r="F311">
        <v>1.4259496145836299</v>
      </c>
      <c r="G311">
        <v>-2.33873344092351E-2</v>
      </c>
      <c r="H311">
        <v>3.2978422478661097E-2</v>
      </c>
      <c r="I311">
        <v>-0.70917080476993899</v>
      </c>
      <c r="J311">
        <v>0.47824053823748502</v>
      </c>
      <c r="K311" s="6">
        <f t="shared" si="4"/>
        <v>9.2391853739879751E-2</v>
      </c>
    </row>
    <row r="312" spans="1:11" x14ac:dyDescent="0.35">
      <c r="A312">
        <v>311</v>
      </c>
      <c r="B312">
        <v>311</v>
      </c>
      <c r="C312">
        <v>8000</v>
      </c>
      <c r="D312" t="s">
        <v>10</v>
      </c>
      <c r="E312">
        <v>5.22685888106209</v>
      </c>
      <c r="F312">
        <v>1.4313514826059199</v>
      </c>
      <c r="G312">
        <v>-1.29459607031557E-2</v>
      </c>
      <c r="H312">
        <v>3.1867798619668201E-2</v>
      </c>
      <c r="I312">
        <v>-0.40623956670686601</v>
      </c>
      <c r="J312">
        <v>0.68457745321030805</v>
      </c>
      <c r="K312" s="6">
        <f t="shared" si="4"/>
        <v>8.9280346595883145E-2</v>
      </c>
    </row>
    <row r="313" spans="1:11" x14ac:dyDescent="0.35">
      <c r="A313">
        <v>312</v>
      </c>
      <c r="B313">
        <v>312</v>
      </c>
      <c r="C313">
        <v>8500</v>
      </c>
      <c r="D313" t="s">
        <v>10</v>
      </c>
      <c r="E313">
        <v>5.2052388188381604</v>
      </c>
      <c r="F313">
        <v>1.46396940095627</v>
      </c>
      <c r="G313">
        <v>2.89989826575986E-2</v>
      </c>
      <c r="H313">
        <v>3.0959856620513999E-2</v>
      </c>
      <c r="I313">
        <v>0.93666398436690101</v>
      </c>
      <c r="J313">
        <v>0.34895804522956297</v>
      </c>
      <c r="K313" s="6">
        <f t="shared" si="4"/>
        <v>8.6736669910182723E-2</v>
      </c>
    </row>
    <row r="314" spans="1:11" x14ac:dyDescent="0.35">
      <c r="A314">
        <v>313</v>
      </c>
      <c r="B314">
        <v>313</v>
      </c>
      <c r="C314">
        <v>9000</v>
      </c>
      <c r="D314" t="s">
        <v>10</v>
      </c>
      <c r="E314">
        <v>5.1942611196965904</v>
      </c>
      <c r="F314">
        <v>1.43565290711664</v>
      </c>
      <c r="G314">
        <v>4.0901979728220898E-2</v>
      </c>
      <c r="H314">
        <v>3.0099768604786699E-2</v>
      </c>
      <c r="I314">
        <v>1.3588802048702899</v>
      </c>
      <c r="J314">
        <v>0.17421861277508199</v>
      </c>
      <c r="K314" s="6">
        <f t="shared" si="4"/>
        <v>8.4327060226641354E-2</v>
      </c>
    </row>
    <row r="315" spans="1:11" x14ac:dyDescent="0.35">
      <c r="A315">
        <v>314</v>
      </c>
      <c r="B315">
        <v>314</v>
      </c>
      <c r="C315">
        <v>9500</v>
      </c>
      <c r="D315" t="s">
        <v>10</v>
      </c>
      <c r="E315">
        <v>5.19479096306587</v>
      </c>
      <c r="F315">
        <v>1.4408338851398299</v>
      </c>
      <c r="G315">
        <v>2.4275714483414298E-2</v>
      </c>
      <c r="H315">
        <v>2.92620835837769E-2</v>
      </c>
      <c r="I315">
        <v>0.82959623889779699</v>
      </c>
      <c r="J315">
        <v>0.406787953164234</v>
      </c>
      <c r="K315" s="6">
        <f t="shared" si="4"/>
        <v>8.198021443705561E-2</v>
      </c>
    </row>
    <row r="316" spans="1:11" x14ac:dyDescent="0.35">
      <c r="A316">
        <v>315</v>
      </c>
      <c r="B316">
        <v>315</v>
      </c>
      <c r="C316">
        <v>10000</v>
      </c>
      <c r="D316" t="s">
        <v>10</v>
      </c>
      <c r="E316">
        <v>5.2079721139928701</v>
      </c>
      <c r="F316">
        <v>1.4390840189596601</v>
      </c>
      <c r="G316">
        <v>-4.1649665252477697E-3</v>
      </c>
      <c r="H316">
        <v>2.8520173651053301E-2</v>
      </c>
      <c r="I316">
        <v>-0.14603580525863899</v>
      </c>
      <c r="J316">
        <v>0.88389606701622103</v>
      </c>
      <c r="K316" s="6">
        <f t="shared" si="4"/>
        <v>7.9901690698186173E-2</v>
      </c>
    </row>
    <row r="317" spans="1:11" x14ac:dyDescent="0.35">
      <c r="A317">
        <v>316</v>
      </c>
      <c r="B317">
        <v>316</v>
      </c>
      <c r="C317">
        <v>10500</v>
      </c>
      <c r="D317" t="s">
        <v>10</v>
      </c>
      <c r="E317">
        <v>5.2004304333169102</v>
      </c>
      <c r="F317">
        <v>1.4370301763137701</v>
      </c>
      <c r="G317">
        <v>1.9044429358398798E-2</v>
      </c>
      <c r="H317">
        <v>2.7736915954453299E-2</v>
      </c>
      <c r="I317">
        <v>0.68660947704754305</v>
      </c>
      <c r="J317">
        <v>0.49234401988610799</v>
      </c>
      <c r="K317" s="6">
        <f t="shared" si="4"/>
        <v>7.7707327684257047E-2</v>
      </c>
    </row>
    <row r="318" spans="1:11" x14ac:dyDescent="0.35">
      <c r="A318">
        <v>317</v>
      </c>
      <c r="B318">
        <v>317</v>
      </c>
      <c r="C318">
        <v>11000</v>
      </c>
      <c r="D318" t="s">
        <v>10</v>
      </c>
      <c r="E318">
        <v>5.2036599158688297</v>
      </c>
      <c r="F318">
        <v>1.4258574697011701</v>
      </c>
      <c r="G318">
        <v>1.9027936581833799E-2</v>
      </c>
      <c r="H318">
        <v>2.7069783893700398E-2</v>
      </c>
      <c r="I318">
        <v>0.702921628652599</v>
      </c>
      <c r="J318">
        <v>0.48211946973555098</v>
      </c>
      <c r="K318" s="6">
        <f t="shared" si="4"/>
        <v>7.5838300509832632E-2</v>
      </c>
    </row>
    <row r="319" spans="1:11" x14ac:dyDescent="0.35">
      <c r="A319">
        <v>318</v>
      </c>
      <c r="B319">
        <v>318</v>
      </c>
      <c r="C319">
        <v>11500</v>
      </c>
      <c r="D319" t="s">
        <v>10</v>
      </c>
      <c r="E319">
        <v>5.2230028196975402</v>
      </c>
      <c r="F319">
        <v>1.4091283275434301</v>
      </c>
      <c r="G319">
        <v>-1.2167987205166099E-2</v>
      </c>
      <c r="H319">
        <v>2.6447342503274001E-2</v>
      </c>
      <c r="I319">
        <v>-0.46008354917549199</v>
      </c>
      <c r="J319">
        <v>0.64546495150396699</v>
      </c>
      <c r="K319" s="6">
        <f t="shared" si="4"/>
        <v>7.4094478047034895E-2</v>
      </c>
    </row>
    <row r="320" spans="1:11" x14ac:dyDescent="0.35">
      <c r="A320">
        <v>319</v>
      </c>
      <c r="B320">
        <v>319</v>
      </c>
      <c r="C320">
        <v>12000</v>
      </c>
      <c r="D320" t="s">
        <v>10</v>
      </c>
      <c r="E320">
        <v>5.2263040199479702</v>
      </c>
      <c r="F320">
        <v>1.4058154430796701</v>
      </c>
      <c r="G320">
        <v>-1.19980677186471E-2</v>
      </c>
      <c r="H320">
        <v>2.5857188999071402E-2</v>
      </c>
      <c r="I320">
        <v>-0.46401284064860998</v>
      </c>
      <c r="J320">
        <v>0.64264696428873003</v>
      </c>
      <c r="K320" s="6">
        <f t="shared" si="4"/>
        <v>7.2441112841963459E-2</v>
      </c>
    </row>
    <row r="321" spans="1:11" x14ac:dyDescent="0.35">
      <c r="A321">
        <v>320</v>
      </c>
      <c r="B321">
        <v>320</v>
      </c>
      <c r="C321">
        <v>12500</v>
      </c>
      <c r="D321" t="s">
        <v>10</v>
      </c>
      <c r="E321">
        <v>5.2431565062295604</v>
      </c>
      <c r="F321">
        <v>1.4210358664311999</v>
      </c>
      <c r="G321">
        <v>-4.5703201355949102E-2</v>
      </c>
      <c r="H321">
        <v>2.5334836469123601E-2</v>
      </c>
      <c r="I321">
        <v>-1.8039667006198801</v>
      </c>
      <c r="J321">
        <v>7.1260595205295499E-2</v>
      </c>
      <c r="K321" s="6">
        <f t="shared" si="4"/>
        <v>7.0977697829349651E-2</v>
      </c>
    </row>
    <row r="322" spans="1:11" x14ac:dyDescent="0.35">
      <c r="A322">
        <v>321</v>
      </c>
      <c r="B322">
        <v>321</v>
      </c>
      <c r="C322">
        <v>13000</v>
      </c>
      <c r="D322" t="s">
        <v>10</v>
      </c>
      <c r="E322">
        <v>5.2109203811640903</v>
      </c>
      <c r="F322">
        <v>1.44868597365001</v>
      </c>
      <c r="G322">
        <v>2.5380531722220399E-2</v>
      </c>
      <c r="H322">
        <v>2.4804909915210002E-2</v>
      </c>
      <c r="I322">
        <v>1.0232059624073699</v>
      </c>
      <c r="J322">
        <v>0.30622951688268102</v>
      </c>
      <c r="K322" s="6">
        <f t="shared" si="4"/>
        <v>6.9493063544803613E-2</v>
      </c>
    </row>
    <row r="323" spans="1:11" x14ac:dyDescent="0.35">
      <c r="A323">
        <v>322</v>
      </c>
      <c r="B323">
        <v>322</v>
      </c>
      <c r="C323">
        <v>13500</v>
      </c>
      <c r="D323" t="s">
        <v>10</v>
      </c>
      <c r="E323">
        <v>5.2540929010002104</v>
      </c>
      <c r="F323">
        <v>1.4014973289538799</v>
      </c>
      <c r="G323">
        <v>-6.1114106981018899E-2</v>
      </c>
      <c r="H323">
        <v>2.4366619704235599E-2</v>
      </c>
      <c r="I323">
        <v>-2.508107719611</v>
      </c>
      <c r="J323">
        <v>1.2149602074612799E-2</v>
      </c>
      <c r="K323" s="6">
        <f t="shared" ref="K323:K386" si="5">H323*2.801585</f>
        <v>6.8265156264090895E-2</v>
      </c>
    </row>
    <row r="324" spans="1:11" x14ac:dyDescent="0.35">
      <c r="A324">
        <v>323</v>
      </c>
      <c r="B324">
        <v>323</v>
      </c>
      <c r="C324">
        <v>14000</v>
      </c>
      <c r="D324" t="s">
        <v>10</v>
      </c>
      <c r="E324">
        <v>5.23547461027451</v>
      </c>
      <c r="F324">
        <v>1.3991690368288701</v>
      </c>
      <c r="G324">
        <v>-2.151874060855E-2</v>
      </c>
      <c r="H324">
        <v>2.3935714711617099E-2</v>
      </c>
      <c r="I324">
        <v>-0.89902227143883495</v>
      </c>
      <c r="J324">
        <v>0.36865626206461399</v>
      </c>
      <c r="K324" s="6">
        <f t="shared" si="5"/>
        <v>6.7057939300345801E-2</v>
      </c>
    </row>
    <row r="325" spans="1:11" x14ac:dyDescent="0.35">
      <c r="A325">
        <v>324</v>
      </c>
      <c r="B325">
        <v>324</v>
      </c>
      <c r="C325">
        <v>1000</v>
      </c>
      <c r="D325" t="s">
        <v>10</v>
      </c>
      <c r="E325">
        <v>5.1936418093164898</v>
      </c>
      <c r="F325">
        <v>1.50625728410707</v>
      </c>
      <c r="G325">
        <v>-5.67480260028147E-2</v>
      </c>
      <c r="H325">
        <v>9.3534695335433404E-2</v>
      </c>
      <c r="I325">
        <v>-0.60670562724671595</v>
      </c>
      <c r="J325">
        <v>0.54418427395042801</v>
      </c>
      <c r="K325" s="6">
        <f t="shared" si="5"/>
        <v>0.26204539943132021</v>
      </c>
    </row>
    <row r="326" spans="1:11" x14ac:dyDescent="0.35">
      <c r="A326">
        <v>325</v>
      </c>
      <c r="B326">
        <v>325</v>
      </c>
      <c r="C326">
        <v>1500</v>
      </c>
      <c r="D326" t="s">
        <v>10</v>
      </c>
      <c r="E326">
        <v>5.1908112647170501</v>
      </c>
      <c r="F326">
        <v>1.4598490712513399</v>
      </c>
      <c r="G326">
        <v>2.9068802237209899E-2</v>
      </c>
      <c r="H326">
        <v>7.4527135931610894E-2</v>
      </c>
      <c r="I326">
        <v>0.390043195325319</v>
      </c>
      <c r="J326">
        <v>0.69656005692645595</v>
      </c>
      <c r="K326" s="6">
        <f t="shared" si="5"/>
        <v>0.20879410611896213</v>
      </c>
    </row>
    <row r="327" spans="1:11" x14ac:dyDescent="0.35">
      <c r="A327">
        <v>326</v>
      </c>
      <c r="B327">
        <v>326</v>
      </c>
      <c r="C327">
        <v>2000</v>
      </c>
      <c r="D327" t="s">
        <v>10</v>
      </c>
      <c r="E327">
        <v>5.2142039003595002</v>
      </c>
      <c r="F327">
        <v>1.46418938526065</v>
      </c>
      <c r="G327">
        <v>-6.52620843348585E-3</v>
      </c>
      <c r="H327">
        <v>6.4470797302716501E-2</v>
      </c>
      <c r="I327">
        <v>-0.101227357292367</v>
      </c>
      <c r="J327">
        <v>0.919380137093046</v>
      </c>
      <c r="K327" s="6">
        <f t="shared" si="5"/>
        <v>0.18062041866133102</v>
      </c>
    </row>
    <row r="328" spans="1:11" x14ac:dyDescent="0.35">
      <c r="A328">
        <v>327</v>
      </c>
      <c r="B328">
        <v>327</v>
      </c>
      <c r="C328">
        <v>2500</v>
      </c>
      <c r="D328" t="s">
        <v>10</v>
      </c>
      <c r="E328">
        <v>5.16868163938239</v>
      </c>
      <c r="F328">
        <v>1.4068347346700101</v>
      </c>
      <c r="G328">
        <v>6.0880966645380799E-2</v>
      </c>
      <c r="H328">
        <v>5.7880191209716401E-2</v>
      </c>
      <c r="I328">
        <v>1.05184460128668</v>
      </c>
      <c r="J328">
        <v>0.292972590346465</v>
      </c>
      <c r="K328" s="6">
        <f t="shared" si="5"/>
        <v>0.16215627549027334</v>
      </c>
    </row>
    <row r="329" spans="1:11" x14ac:dyDescent="0.35">
      <c r="A329">
        <v>328</v>
      </c>
      <c r="B329">
        <v>328</v>
      </c>
      <c r="C329">
        <v>3000</v>
      </c>
      <c r="D329" t="s">
        <v>10</v>
      </c>
      <c r="E329">
        <v>5.2269648297173701</v>
      </c>
      <c r="F329">
        <v>1.39881384376472</v>
      </c>
      <c r="G329">
        <v>-5.3907863537910897E-2</v>
      </c>
      <c r="H329">
        <v>5.2388019295534202E-2</v>
      </c>
      <c r="I329">
        <v>-1.02901129423891</v>
      </c>
      <c r="J329">
        <v>0.303557377520497</v>
      </c>
      <c r="K329" s="6">
        <f t="shared" si="5"/>
        <v>0.14676948903807921</v>
      </c>
    </row>
    <row r="330" spans="1:11" x14ac:dyDescent="0.35">
      <c r="A330">
        <v>329</v>
      </c>
      <c r="B330">
        <v>329</v>
      </c>
      <c r="C330">
        <v>3500</v>
      </c>
      <c r="D330" t="s">
        <v>10</v>
      </c>
      <c r="E330">
        <v>5.2490320351766897</v>
      </c>
      <c r="F330">
        <v>1.35677628461058</v>
      </c>
      <c r="G330">
        <v>-9.1881670964074902E-2</v>
      </c>
      <c r="H330">
        <v>4.8816561498406102E-2</v>
      </c>
      <c r="I330">
        <v>-1.8821823607358099</v>
      </c>
      <c r="J330">
        <v>5.9894204287243798E-2</v>
      </c>
      <c r="K330" s="6">
        <f t="shared" si="5"/>
        <v>0.13676374644551206</v>
      </c>
    </row>
    <row r="331" spans="1:11" x14ac:dyDescent="0.35">
      <c r="A331">
        <v>330</v>
      </c>
      <c r="B331">
        <v>330</v>
      </c>
      <c r="C331">
        <v>4000</v>
      </c>
      <c r="D331" t="s">
        <v>10</v>
      </c>
      <c r="E331">
        <v>5.2079765510116101</v>
      </c>
      <c r="F331">
        <v>1.43553049965729</v>
      </c>
      <c r="G331">
        <v>-4.3827781259396497E-3</v>
      </c>
      <c r="H331">
        <v>4.5747668677855499E-2</v>
      </c>
      <c r="I331">
        <v>-9.5803310914096204E-2</v>
      </c>
      <c r="J331">
        <v>0.92368158925139798</v>
      </c>
      <c r="K331" s="6">
        <f t="shared" si="5"/>
        <v>0.12816598235284982</v>
      </c>
    </row>
    <row r="332" spans="1:11" x14ac:dyDescent="0.35">
      <c r="A332">
        <v>331</v>
      </c>
      <c r="B332">
        <v>331</v>
      </c>
      <c r="C332">
        <v>4500</v>
      </c>
      <c r="D332" t="s">
        <v>10</v>
      </c>
      <c r="E332">
        <v>5.2002518821856496</v>
      </c>
      <c r="F332">
        <v>1.4338767797473599</v>
      </c>
      <c r="G332">
        <v>5.1619093278286697E-3</v>
      </c>
      <c r="H332">
        <v>4.2941811869952502E-2</v>
      </c>
      <c r="I332">
        <v>0.120207068659825</v>
      </c>
      <c r="J332">
        <v>0.90432448712674296</v>
      </c>
      <c r="K332" s="6">
        <f t="shared" si="5"/>
        <v>0.12030513600768089</v>
      </c>
    </row>
    <row r="333" spans="1:11" x14ac:dyDescent="0.35">
      <c r="A333">
        <v>332</v>
      </c>
      <c r="B333">
        <v>332</v>
      </c>
      <c r="C333">
        <v>5000</v>
      </c>
      <c r="D333" t="s">
        <v>10</v>
      </c>
      <c r="E333">
        <v>5.2334610866750602</v>
      </c>
      <c r="F333">
        <v>1.41416206729995</v>
      </c>
      <c r="G333">
        <v>-6.3904423824383799E-2</v>
      </c>
      <c r="H333">
        <v>4.0483083412316101E-2</v>
      </c>
      <c r="I333">
        <v>-1.5785463565984701</v>
      </c>
      <c r="J333">
        <v>0.11450343055841999</v>
      </c>
      <c r="K333" s="6">
        <f t="shared" si="5"/>
        <v>0.11341679924169361</v>
      </c>
    </row>
    <row r="334" spans="1:11" x14ac:dyDescent="0.35">
      <c r="A334">
        <v>333</v>
      </c>
      <c r="B334">
        <v>333</v>
      </c>
      <c r="C334">
        <v>5500</v>
      </c>
      <c r="D334" t="s">
        <v>10</v>
      </c>
      <c r="E334">
        <v>5.2247208680985304</v>
      </c>
      <c r="F334">
        <v>1.42534422275517</v>
      </c>
      <c r="G334">
        <v>-2.9455198836812399E-2</v>
      </c>
      <c r="H334">
        <v>3.8585656215854497E-2</v>
      </c>
      <c r="I334">
        <v>-0.76337172217663496</v>
      </c>
      <c r="J334">
        <v>0.44527449332603602</v>
      </c>
      <c r="K334" s="6">
        <f t="shared" si="5"/>
        <v>0.10810099566949473</v>
      </c>
    </row>
    <row r="335" spans="1:11" x14ac:dyDescent="0.35">
      <c r="A335">
        <v>334</v>
      </c>
      <c r="B335">
        <v>334</v>
      </c>
      <c r="C335">
        <v>6000</v>
      </c>
      <c r="D335" t="s">
        <v>10</v>
      </c>
      <c r="E335">
        <v>5.2145021090474897</v>
      </c>
      <c r="F335">
        <v>1.45327837858756</v>
      </c>
      <c r="G335">
        <v>1.03271724563797E-2</v>
      </c>
      <c r="H335">
        <v>3.7019743986634601E-2</v>
      </c>
      <c r="I335">
        <v>0.278963908019141</v>
      </c>
      <c r="J335">
        <v>0.78028214031838505</v>
      </c>
      <c r="K335" s="6">
        <f t="shared" si="5"/>
        <v>0.10371395945679571</v>
      </c>
    </row>
    <row r="336" spans="1:11" x14ac:dyDescent="0.35">
      <c r="A336">
        <v>335</v>
      </c>
      <c r="B336">
        <v>335</v>
      </c>
      <c r="C336">
        <v>6500</v>
      </c>
      <c r="D336" t="s">
        <v>10</v>
      </c>
      <c r="E336">
        <v>5.2327611981905697</v>
      </c>
      <c r="F336">
        <v>1.4129573071974699</v>
      </c>
      <c r="G336">
        <v>-2.2343080701807998E-2</v>
      </c>
      <c r="H336">
        <v>3.5544347319040499E-2</v>
      </c>
      <c r="I336">
        <v>-0.62859729850318902</v>
      </c>
      <c r="J336">
        <v>0.52963482341220403</v>
      </c>
      <c r="K336" s="6">
        <f t="shared" si="5"/>
        <v>9.958051028381408E-2</v>
      </c>
    </row>
    <row r="337" spans="1:11" x14ac:dyDescent="0.35">
      <c r="A337">
        <v>336</v>
      </c>
      <c r="B337">
        <v>336</v>
      </c>
      <c r="C337">
        <v>7000</v>
      </c>
      <c r="D337" t="s">
        <v>10</v>
      </c>
      <c r="E337">
        <v>5.2427095693331296</v>
      </c>
      <c r="F337">
        <v>1.4249005435745801</v>
      </c>
      <c r="G337">
        <v>-4.4817309809612897E-2</v>
      </c>
      <c r="H337">
        <v>3.42563559459391E-2</v>
      </c>
      <c r="I337">
        <v>-1.3082918066457601</v>
      </c>
      <c r="J337">
        <v>0.190817321515486</v>
      </c>
      <c r="K337" s="6">
        <f t="shared" si="5"/>
        <v>9.5972092972803805E-2</v>
      </c>
    </row>
    <row r="338" spans="1:11" x14ac:dyDescent="0.35">
      <c r="A338">
        <v>337</v>
      </c>
      <c r="B338">
        <v>337</v>
      </c>
      <c r="C338">
        <v>7500</v>
      </c>
      <c r="D338" t="s">
        <v>10</v>
      </c>
      <c r="E338">
        <v>5.1854750486679402</v>
      </c>
      <c r="F338">
        <v>1.42772252014547</v>
      </c>
      <c r="G338">
        <v>6.5140353765094694E-2</v>
      </c>
      <c r="H338">
        <v>3.2983725380418202E-2</v>
      </c>
      <c r="I338">
        <v>1.9749240879796801</v>
      </c>
      <c r="J338">
        <v>4.8313389342109103E-2</v>
      </c>
      <c r="K338" s="6">
        <f t="shared" si="5"/>
        <v>9.240671026989894E-2</v>
      </c>
    </row>
    <row r="339" spans="1:11" x14ac:dyDescent="0.35">
      <c r="A339">
        <v>338</v>
      </c>
      <c r="B339">
        <v>338</v>
      </c>
      <c r="C339">
        <v>8000</v>
      </c>
      <c r="D339" t="s">
        <v>10</v>
      </c>
      <c r="E339">
        <v>5.2125113379468697</v>
      </c>
      <c r="F339">
        <v>1.42557116969221</v>
      </c>
      <c r="G339">
        <v>1.56011620224938E-2</v>
      </c>
      <c r="H339">
        <v>3.1866730492251402E-2</v>
      </c>
      <c r="I339">
        <v>0.48957523352724502</v>
      </c>
      <c r="J339">
        <v>0.62444793222077299</v>
      </c>
      <c r="K339" s="6">
        <f t="shared" si="5"/>
        <v>8.927735414613415E-2</v>
      </c>
    </row>
    <row r="340" spans="1:11" x14ac:dyDescent="0.35">
      <c r="A340">
        <v>339</v>
      </c>
      <c r="B340">
        <v>339</v>
      </c>
      <c r="C340">
        <v>8500</v>
      </c>
      <c r="D340" t="s">
        <v>10</v>
      </c>
      <c r="E340">
        <v>5.2286630313656097</v>
      </c>
      <c r="F340">
        <v>1.4216055713079101</v>
      </c>
      <c r="G340">
        <v>-1.7513226229165499E-2</v>
      </c>
      <c r="H340">
        <v>3.0958611688609999E-2</v>
      </c>
      <c r="I340">
        <v>-0.56569804890859499</v>
      </c>
      <c r="J340">
        <v>0.57161399758156095</v>
      </c>
      <c r="K340" s="6">
        <f t="shared" si="5"/>
        <v>8.6733182127634451E-2</v>
      </c>
    </row>
    <row r="341" spans="1:11" x14ac:dyDescent="0.35">
      <c r="A341">
        <v>340</v>
      </c>
      <c r="B341">
        <v>340</v>
      </c>
      <c r="C341">
        <v>9000</v>
      </c>
      <c r="D341" t="s">
        <v>10</v>
      </c>
      <c r="E341">
        <v>5.2111730929164199</v>
      </c>
      <c r="F341">
        <v>1.43488764028409</v>
      </c>
      <c r="G341">
        <v>7.3261607087304302E-3</v>
      </c>
      <c r="H341">
        <v>3.0099395796806198E-2</v>
      </c>
      <c r="I341">
        <v>0.24339892927378301</v>
      </c>
      <c r="J341">
        <v>0.80770192171425603</v>
      </c>
      <c r="K341" s="6">
        <f t="shared" si="5"/>
        <v>8.4326015773395296E-2</v>
      </c>
    </row>
    <row r="342" spans="1:11" x14ac:dyDescent="0.35">
      <c r="A342">
        <v>341</v>
      </c>
      <c r="B342">
        <v>341</v>
      </c>
      <c r="C342">
        <v>9500</v>
      </c>
      <c r="D342" t="s">
        <v>10</v>
      </c>
      <c r="E342">
        <v>5.1943310645749703</v>
      </c>
      <c r="F342">
        <v>1.4314865846910101</v>
      </c>
      <c r="G342">
        <v>2.53813890431729E-2</v>
      </c>
      <c r="H342">
        <v>2.9266235737786299E-2</v>
      </c>
      <c r="I342">
        <v>0.86725840899321305</v>
      </c>
      <c r="J342">
        <v>0.385822348859854</v>
      </c>
      <c r="K342" s="6">
        <f t="shared" si="5"/>
        <v>8.1991847049446037E-2</v>
      </c>
    </row>
    <row r="343" spans="1:11" x14ac:dyDescent="0.35">
      <c r="A343">
        <v>342</v>
      </c>
      <c r="B343">
        <v>342</v>
      </c>
      <c r="C343">
        <v>10000</v>
      </c>
      <c r="D343" t="s">
        <v>10</v>
      </c>
      <c r="E343">
        <v>5.2231246460752798</v>
      </c>
      <c r="F343">
        <v>1.4043319543430099</v>
      </c>
      <c r="G343">
        <v>-3.42249869303239E-2</v>
      </c>
      <c r="H343">
        <v>2.8515296197443699E-2</v>
      </c>
      <c r="I343">
        <v>-1.2002325591621199</v>
      </c>
      <c r="J343">
        <v>0.23007747139183801</v>
      </c>
      <c r="K343" s="6">
        <f t="shared" si="5"/>
        <v>7.9888026097315309E-2</v>
      </c>
    </row>
    <row r="344" spans="1:11" x14ac:dyDescent="0.35">
      <c r="A344">
        <v>343</v>
      </c>
      <c r="B344">
        <v>343</v>
      </c>
      <c r="C344">
        <v>10500</v>
      </c>
      <c r="D344" t="s">
        <v>10</v>
      </c>
      <c r="E344">
        <v>5.2084905691143604</v>
      </c>
      <c r="F344">
        <v>1.39202737394335</v>
      </c>
      <c r="G344">
        <v>3.01065773602891E-3</v>
      </c>
      <c r="H344">
        <v>2.7738760224576098E-2</v>
      </c>
      <c r="I344">
        <v>0.108536131811743</v>
      </c>
      <c r="J344">
        <v>0.91357249504564897</v>
      </c>
      <c r="K344" s="6">
        <f t="shared" si="5"/>
        <v>7.7712494563769038E-2</v>
      </c>
    </row>
    <row r="345" spans="1:11" x14ac:dyDescent="0.35">
      <c r="A345">
        <v>344</v>
      </c>
      <c r="B345">
        <v>344</v>
      </c>
      <c r="C345">
        <v>11000</v>
      </c>
      <c r="D345" t="s">
        <v>10</v>
      </c>
      <c r="E345">
        <v>5.2206140092204603</v>
      </c>
      <c r="F345">
        <v>1.41330101194756</v>
      </c>
      <c r="G345">
        <v>-1.4983604785558401E-2</v>
      </c>
      <c r="H345">
        <v>2.7071253103904E-2</v>
      </c>
      <c r="I345">
        <v>-0.55348766930178195</v>
      </c>
      <c r="J345">
        <v>0.57994077311348302</v>
      </c>
      <c r="K345" s="6">
        <f t="shared" si="5"/>
        <v>7.5842416627100895E-2</v>
      </c>
    </row>
    <row r="346" spans="1:11" x14ac:dyDescent="0.35">
      <c r="A346">
        <v>345</v>
      </c>
      <c r="B346">
        <v>345</v>
      </c>
      <c r="C346">
        <v>11500</v>
      </c>
      <c r="D346" t="s">
        <v>10</v>
      </c>
      <c r="E346">
        <v>5.2096834215569503</v>
      </c>
      <c r="F346">
        <v>1.40438497869701</v>
      </c>
      <c r="G346">
        <v>1.44902419003293E-2</v>
      </c>
      <c r="H346">
        <v>2.64433655884986E-2</v>
      </c>
      <c r="I346">
        <v>0.54797267964376295</v>
      </c>
      <c r="J346">
        <v>0.58372129981196097</v>
      </c>
      <c r="K346" s="6">
        <f t="shared" si="5"/>
        <v>7.4083336382253853E-2</v>
      </c>
    </row>
    <row r="347" spans="1:11" x14ac:dyDescent="0.35">
      <c r="A347">
        <v>346</v>
      </c>
      <c r="B347">
        <v>346</v>
      </c>
      <c r="C347">
        <v>12000</v>
      </c>
      <c r="D347" t="s">
        <v>10</v>
      </c>
      <c r="E347">
        <v>5.2012020589159302</v>
      </c>
      <c r="F347">
        <v>1.4360721375671499</v>
      </c>
      <c r="G347">
        <v>3.7990561218966303E-2</v>
      </c>
      <c r="H347">
        <v>2.58590395528367E-2</v>
      </c>
      <c r="I347">
        <v>1.4691404582657299</v>
      </c>
      <c r="J347">
        <v>0.14182091439146099</v>
      </c>
      <c r="K347" s="6">
        <f t="shared" si="5"/>
        <v>7.2446297325634013E-2</v>
      </c>
    </row>
    <row r="348" spans="1:11" x14ac:dyDescent="0.35">
      <c r="A348">
        <v>347</v>
      </c>
      <c r="B348">
        <v>347</v>
      </c>
      <c r="C348">
        <v>12500</v>
      </c>
      <c r="D348" t="s">
        <v>10</v>
      </c>
      <c r="E348">
        <v>5.2078725814208102</v>
      </c>
      <c r="F348">
        <v>1.42392628037689</v>
      </c>
      <c r="G348">
        <v>2.4621119059102799E-2</v>
      </c>
      <c r="H348">
        <v>2.5334657505592901E-2</v>
      </c>
      <c r="I348">
        <v>0.97183548084940197</v>
      </c>
      <c r="J348">
        <v>0.33115120915733598</v>
      </c>
      <c r="K348" s="6">
        <f t="shared" si="5"/>
        <v>7.0977196447806493E-2</v>
      </c>
    </row>
    <row r="349" spans="1:11" x14ac:dyDescent="0.35">
      <c r="A349">
        <v>348</v>
      </c>
      <c r="B349">
        <v>348</v>
      </c>
      <c r="C349">
        <v>13000</v>
      </c>
      <c r="D349" t="s">
        <v>10</v>
      </c>
      <c r="E349">
        <v>5.2087995068528103</v>
      </c>
      <c r="F349">
        <v>1.4188001808978501</v>
      </c>
      <c r="G349">
        <v>2.95948455349338E-2</v>
      </c>
      <c r="H349">
        <v>2.48137103908363E-2</v>
      </c>
      <c r="I349">
        <v>1.1926811858763</v>
      </c>
      <c r="J349">
        <v>0.23301602834819901</v>
      </c>
      <c r="K349" s="6">
        <f t="shared" si="5"/>
        <v>6.9517718825311117E-2</v>
      </c>
    </row>
    <row r="350" spans="1:11" x14ac:dyDescent="0.35">
      <c r="A350">
        <v>349</v>
      </c>
      <c r="B350">
        <v>349</v>
      </c>
      <c r="C350">
        <v>13500</v>
      </c>
      <c r="D350" t="s">
        <v>10</v>
      </c>
      <c r="E350">
        <v>5.2093442841894104</v>
      </c>
      <c r="F350">
        <v>1.4352598056738299</v>
      </c>
      <c r="G350">
        <v>2.7379009879704201E-2</v>
      </c>
      <c r="H350">
        <v>2.43868863692157E-2</v>
      </c>
      <c r="I350">
        <v>1.1226939538401099</v>
      </c>
      <c r="J350">
        <v>0.26158746567808</v>
      </c>
      <c r="K350" s="6">
        <f t="shared" si="5"/>
        <v>6.832193504869917E-2</v>
      </c>
    </row>
    <row r="351" spans="1:11" x14ac:dyDescent="0.35">
      <c r="A351">
        <v>350</v>
      </c>
      <c r="B351">
        <v>350</v>
      </c>
      <c r="C351">
        <v>14000</v>
      </c>
      <c r="D351" t="s">
        <v>10</v>
      </c>
      <c r="E351">
        <v>5.2084680676720199</v>
      </c>
      <c r="F351">
        <v>1.4177809340642</v>
      </c>
      <c r="G351">
        <v>3.23421306309013E-2</v>
      </c>
      <c r="H351">
        <v>2.3937861322053101E-2</v>
      </c>
      <c r="I351">
        <v>1.35108689100415</v>
      </c>
      <c r="J351">
        <v>0.17668943688477901</v>
      </c>
      <c r="K351" s="6">
        <f t="shared" si="5"/>
        <v>6.7063953211944138E-2</v>
      </c>
    </row>
    <row r="352" spans="1:11" x14ac:dyDescent="0.35">
      <c r="A352">
        <v>351</v>
      </c>
      <c r="B352">
        <v>351</v>
      </c>
      <c r="C352">
        <v>1000</v>
      </c>
      <c r="D352" t="s">
        <v>10</v>
      </c>
      <c r="E352">
        <v>5.1540301024532198</v>
      </c>
      <c r="F352">
        <v>1.42578418273666</v>
      </c>
      <c r="G352">
        <v>2.51988887615417E-2</v>
      </c>
      <c r="H352">
        <v>9.3757434740241299E-2</v>
      </c>
      <c r="I352">
        <v>0.26876683253286798</v>
      </c>
      <c r="J352">
        <v>0.78816466675633701</v>
      </c>
      <c r="K352" s="6">
        <f t="shared" si="5"/>
        <v>0.26266942280673894</v>
      </c>
    </row>
    <row r="353" spans="1:11" x14ac:dyDescent="0.35">
      <c r="A353">
        <v>352</v>
      </c>
      <c r="B353">
        <v>352</v>
      </c>
      <c r="C353">
        <v>1500</v>
      </c>
      <c r="D353" t="s">
        <v>10</v>
      </c>
      <c r="E353">
        <v>5.23206048909163</v>
      </c>
      <c r="F353">
        <v>1.3873571316073501</v>
      </c>
      <c r="G353">
        <v>-5.7396054969694202E-2</v>
      </c>
      <c r="H353">
        <v>7.4723841452850506E-2</v>
      </c>
      <c r="I353">
        <v>-0.76810899779436803</v>
      </c>
      <c r="J353">
        <v>0.44254349484840599</v>
      </c>
      <c r="K353" s="6">
        <f t="shared" si="5"/>
        <v>0.20934519335668419</v>
      </c>
    </row>
    <row r="354" spans="1:11" x14ac:dyDescent="0.35">
      <c r="A354">
        <v>353</v>
      </c>
      <c r="B354">
        <v>353</v>
      </c>
      <c r="C354">
        <v>2000</v>
      </c>
      <c r="D354" t="s">
        <v>10</v>
      </c>
      <c r="E354">
        <v>5.2211849366080401</v>
      </c>
      <c r="F354">
        <v>1.48805931522537</v>
      </c>
      <c r="G354">
        <v>-2.0482459184778899E-2</v>
      </c>
      <c r="H354">
        <v>6.4469858043532099E-2</v>
      </c>
      <c r="I354">
        <v>-0.31770597619353302</v>
      </c>
      <c r="J354">
        <v>0.75074117656570205</v>
      </c>
      <c r="K354" s="6">
        <f t="shared" si="5"/>
        <v>0.1806177872468889</v>
      </c>
    </row>
    <row r="355" spans="1:11" x14ac:dyDescent="0.35">
      <c r="A355">
        <v>354</v>
      </c>
      <c r="B355">
        <v>354</v>
      </c>
      <c r="C355">
        <v>2500</v>
      </c>
      <c r="D355" t="s">
        <v>10</v>
      </c>
      <c r="E355">
        <v>5.1667255306730997</v>
      </c>
      <c r="F355">
        <v>1.4524834101555399</v>
      </c>
      <c r="G355">
        <v>6.6509331012346504E-2</v>
      </c>
      <c r="H355">
        <v>5.7878200873700103E-2</v>
      </c>
      <c r="I355">
        <v>1.1491257504268499</v>
      </c>
      <c r="J355">
        <v>0.25061414560200201</v>
      </c>
      <c r="K355" s="6">
        <f t="shared" si="5"/>
        <v>0.16215069939474511</v>
      </c>
    </row>
    <row r="356" spans="1:11" x14ac:dyDescent="0.35">
      <c r="A356">
        <v>355</v>
      </c>
      <c r="B356">
        <v>355</v>
      </c>
      <c r="C356">
        <v>3000</v>
      </c>
      <c r="D356" t="s">
        <v>10</v>
      </c>
      <c r="E356">
        <v>5.2410214969766802</v>
      </c>
      <c r="F356">
        <v>1.38735425638845</v>
      </c>
      <c r="G356">
        <v>-7.96193645257606E-2</v>
      </c>
      <c r="H356">
        <v>5.2278231567801897E-2</v>
      </c>
      <c r="I356">
        <v>-1.52299269003579</v>
      </c>
      <c r="J356">
        <v>0.12786600170875501</v>
      </c>
      <c r="K356" s="6">
        <f t="shared" si="5"/>
        <v>0.14646190938688028</v>
      </c>
    </row>
    <row r="357" spans="1:11" x14ac:dyDescent="0.35">
      <c r="A357">
        <v>356</v>
      </c>
      <c r="B357">
        <v>356</v>
      </c>
      <c r="C357">
        <v>3500</v>
      </c>
      <c r="D357" t="s">
        <v>10</v>
      </c>
      <c r="E357">
        <v>5.1781657870470204</v>
      </c>
      <c r="F357">
        <v>1.48577663143421</v>
      </c>
      <c r="G357">
        <v>4.7277654043028597E-2</v>
      </c>
      <c r="H357">
        <v>4.89914437482694E-2</v>
      </c>
      <c r="I357">
        <v>0.96501859153107095</v>
      </c>
      <c r="J357">
        <v>0.33460220910309402</v>
      </c>
      <c r="K357" s="6">
        <f t="shared" si="5"/>
        <v>0.13725369393349535</v>
      </c>
    </row>
    <row r="358" spans="1:11" x14ac:dyDescent="0.35">
      <c r="A358">
        <v>357</v>
      </c>
      <c r="B358">
        <v>357</v>
      </c>
      <c r="C358">
        <v>4000</v>
      </c>
      <c r="D358" t="s">
        <v>10</v>
      </c>
      <c r="E358">
        <v>5.2083431824834499</v>
      </c>
      <c r="F358">
        <v>1.41646125201545</v>
      </c>
      <c r="G358">
        <v>-5.0015724793019203E-3</v>
      </c>
      <c r="H358">
        <v>4.5717510809086002E-2</v>
      </c>
      <c r="I358">
        <v>-0.109401679811227</v>
      </c>
      <c r="J358">
        <v>0.91288939199853103</v>
      </c>
      <c r="K358" s="6">
        <f t="shared" si="5"/>
        <v>0.12808149252007323</v>
      </c>
    </row>
    <row r="359" spans="1:11" x14ac:dyDescent="0.35">
      <c r="A359">
        <v>358</v>
      </c>
      <c r="B359">
        <v>358</v>
      </c>
      <c r="C359">
        <v>4500</v>
      </c>
      <c r="D359" t="s">
        <v>10</v>
      </c>
      <c r="E359">
        <v>5.2302358852307798</v>
      </c>
      <c r="F359">
        <v>1.4351112322451001</v>
      </c>
      <c r="G359">
        <v>-5.4676352429410699E-2</v>
      </c>
      <c r="H359">
        <v>4.2932229163237703E-2</v>
      </c>
      <c r="I359">
        <v>-1.2735502790111199</v>
      </c>
      <c r="J359">
        <v>0.20288865027047501</v>
      </c>
      <c r="K359" s="6">
        <f t="shared" si="5"/>
        <v>0.12027828924028931</v>
      </c>
    </row>
    <row r="360" spans="1:11" x14ac:dyDescent="0.35">
      <c r="A360">
        <v>359</v>
      </c>
      <c r="B360">
        <v>359</v>
      </c>
      <c r="C360">
        <v>5000</v>
      </c>
      <c r="D360" t="s">
        <v>10</v>
      </c>
      <c r="E360">
        <v>5.1835066611807603</v>
      </c>
      <c r="F360">
        <v>1.47356283661777</v>
      </c>
      <c r="G360">
        <v>3.5161997906502797E-2</v>
      </c>
      <c r="H360">
        <v>4.0526114680389497E-2</v>
      </c>
      <c r="I360">
        <v>0.86763802017067104</v>
      </c>
      <c r="J360">
        <v>0.385634180779235</v>
      </c>
      <c r="K360" s="6">
        <f t="shared" si="5"/>
        <v>0.11353735499685902</v>
      </c>
    </row>
    <row r="361" spans="1:11" x14ac:dyDescent="0.35">
      <c r="A361">
        <v>360</v>
      </c>
      <c r="B361">
        <v>360</v>
      </c>
      <c r="C361">
        <v>5500</v>
      </c>
      <c r="D361" t="s">
        <v>10</v>
      </c>
      <c r="E361">
        <v>5.2191425806512299</v>
      </c>
      <c r="F361">
        <v>1.4428026635637901</v>
      </c>
      <c r="G361">
        <v>-1.8007556395698201E-2</v>
      </c>
      <c r="H361">
        <v>3.8596756916142901E-2</v>
      </c>
      <c r="I361">
        <v>-0.46655620405678699</v>
      </c>
      <c r="J361">
        <v>0.64083591272486595</v>
      </c>
      <c r="K361" s="6">
        <f t="shared" si="5"/>
        <v>0.10813209522491221</v>
      </c>
    </row>
    <row r="362" spans="1:11" x14ac:dyDescent="0.35">
      <c r="A362">
        <v>361</v>
      </c>
      <c r="B362">
        <v>361</v>
      </c>
      <c r="C362">
        <v>6000</v>
      </c>
      <c r="D362" t="s">
        <v>10</v>
      </c>
      <c r="E362">
        <v>5.1956271637904798</v>
      </c>
      <c r="F362">
        <v>1.4412589122214401</v>
      </c>
      <c r="G362">
        <v>4.88907317623778E-2</v>
      </c>
      <c r="H362">
        <v>3.6990715501975802E-2</v>
      </c>
      <c r="I362">
        <v>1.3217027867375599</v>
      </c>
      <c r="J362">
        <v>0.186317548063759</v>
      </c>
      <c r="K362" s="6">
        <f t="shared" si="5"/>
        <v>0.10363263368960289</v>
      </c>
    </row>
    <row r="363" spans="1:11" x14ac:dyDescent="0.35">
      <c r="A363">
        <v>362</v>
      </c>
      <c r="B363">
        <v>362</v>
      </c>
      <c r="C363">
        <v>6500</v>
      </c>
      <c r="D363" t="s">
        <v>10</v>
      </c>
      <c r="E363">
        <v>5.2204681538287296</v>
      </c>
      <c r="F363">
        <v>1.4309193460871401</v>
      </c>
      <c r="G363">
        <v>2.0168574042507899E-3</v>
      </c>
      <c r="H363">
        <v>3.5553192314717402E-2</v>
      </c>
      <c r="I363">
        <v>5.6727884978584803E-2</v>
      </c>
      <c r="J363">
        <v>0.95476370493150098</v>
      </c>
      <c r="K363" s="6">
        <f t="shared" si="5"/>
        <v>9.9605290291027562E-2</v>
      </c>
    </row>
    <row r="364" spans="1:11" x14ac:dyDescent="0.35">
      <c r="A364">
        <v>363</v>
      </c>
      <c r="B364">
        <v>363</v>
      </c>
      <c r="C364">
        <v>7000</v>
      </c>
      <c r="D364" t="s">
        <v>10</v>
      </c>
      <c r="E364">
        <v>5.1873403672867102</v>
      </c>
      <c r="F364">
        <v>1.4622290346351301</v>
      </c>
      <c r="G364">
        <v>6.5531667587640896E-2</v>
      </c>
      <c r="H364">
        <v>3.4266471088302997E-2</v>
      </c>
      <c r="I364">
        <v>1.9124136657891899</v>
      </c>
      <c r="J364">
        <v>5.5863938112448802E-2</v>
      </c>
      <c r="K364" s="6">
        <f t="shared" si="5"/>
        <v>9.6000431403923364E-2</v>
      </c>
    </row>
    <row r="365" spans="1:11" x14ac:dyDescent="0.35">
      <c r="A365">
        <v>364</v>
      </c>
      <c r="B365">
        <v>364</v>
      </c>
      <c r="C365">
        <v>7500</v>
      </c>
      <c r="D365" t="s">
        <v>10</v>
      </c>
      <c r="E365">
        <v>5.2008536964640104</v>
      </c>
      <c r="F365">
        <v>1.44792216215141</v>
      </c>
      <c r="G365">
        <v>3.6430428036998502E-2</v>
      </c>
      <c r="H365">
        <v>3.29711854954466E-2</v>
      </c>
      <c r="I365">
        <v>1.1049171417275701</v>
      </c>
      <c r="J365">
        <v>0.269230947937522</v>
      </c>
      <c r="K365" s="6">
        <f t="shared" si="5"/>
        <v>9.2371578716260769E-2</v>
      </c>
    </row>
    <row r="366" spans="1:11" x14ac:dyDescent="0.35">
      <c r="A366">
        <v>365</v>
      </c>
      <c r="B366">
        <v>365</v>
      </c>
      <c r="C366">
        <v>8000</v>
      </c>
      <c r="D366" t="s">
        <v>10</v>
      </c>
      <c r="E366">
        <v>5.2004254417217899</v>
      </c>
      <c r="F366">
        <v>1.42744745784032</v>
      </c>
      <c r="G366">
        <v>3.9763253021732101E-2</v>
      </c>
      <c r="H366">
        <v>3.1863805850521003E-2</v>
      </c>
      <c r="I366">
        <v>1.2479128578760701</v>
      </c>
      <c r="J366">
        <v>0.212099504571887</v>
      </c>
      <c r="K366" s="6">
        <f t="shared" si="5"/>
        <v>8.9269160513731891E-2</v>
      </c>
    </row>
    <row r="367" spans="1:11" x14ac:dyDescent="0.35">
      <c r="A367">
        <v>366</v>
      </c>
      <c r="B367">
        <v>366</v>
      </c>
      <c r="C367">
        <v>8500</v>
      </c>
      <c r="D367" t="s">
        <v>10</v>
      </c>
      <c r="E367">
        <v>5.2318216648906803</v>
      </c>
      <c r="F367">
        <v>1.44060910453561</v>
      </c>
      <c r="G367">
        <v>-2.39107819624511E-2</v>
      </c>
      <c r="H367">
        <v>3.0963975667791899E-2</v>
      </c>
      <c r="I367">
        <v>-0.77221291668054703</v>
      </c>
      <c r="J367">
        <v>0.44000980688790198</v>
      </c>
      <c r="K367" s="6">
        <f t="shared" si="5"/>
        <v>8.6748209771250778E-2</v>
      </c>
    </row>
    <row r="368" spans="1:11" x14ac:dyDescent="0.35">
      <c r="A368">
        <v>367</v>
      </c>
      <c r="B368">
        <v>367</v>
      </c>
      <c r="C368">
        <v>9000</v>
      </c>
      <c r="D368" t="s">
        <v>10</v>
      </c>
      <c r="E368">
        <v>5.2309094778496998</v>
      </c>
      <c r="F368">
        <v>1.41552441213708</v>
      </c>
      <c r="G368">
        <v>-3.2474342840197401E-2</v>
      </c>
      <c r="H368">
        <v>3.01044827970442E-2</v>
      </c>
      <c r="I368">
        <v>-1.0787211678450099</v>
      </c>
      <c r="J368">
        <v>0.280740962121383</v>
      </c>
      <c r="K368" s="6">
        <f t="shared" si="5"/>
        <v>8.4340267436957078E-2</v>
      </c>
    </row>
    <row r="369" spans="1:11" x14ac:dyDescent="0.35">
      <c r="A369">
        <v>368</v>
      </c>
      <c r="B369">
        <v>368</v>
      </c>
      <c r="C369">
        <v>9500</v>
      </c>
      <c r="D369" t="s">
        <v>10</v>
      </c>
      <c r="E369">
        <v>5.2095345904732699</v>
      </c>
      <c r="F369">
        <v>1.4266802045985301</v>
      </c>
      <c r="G369">
        <v>-5.4176563997356203E-3</v>
      </c>
      <c r="H369">
        <v>2.92673093305542E-2</v>
      </c>
      <c r="I369">
        <v>-0.18510947960903701</v>
      </c>
      <c r="J369">
        <v>0.85314711885944805</v>
      </c>
      <c r="K369" s="6">
        <f t="shared" si="5"/>
        <v>8.1994854810840692E-2</v>
      </c>
    </row>
    <row r="370" spans="1:11" x14ac:dyDescent="0.35">
      <c r="A370">
        <v>369</v>
      </c>
      <c r="B370">
        <v>369</v>
      </c>
      <c r="C370">
        <v>10000</v>
      </c>
      <c r="D370" t="s">
        <v>10</v>
      </c>
      <c r="E370">
        <v>5.1826622119602801</v>
      </c>
      <c r="F370">
        <v>1.4701467426427699</v>
      </c>
      <c r="G370">
        <v>4.7268100473902598E-2</v>
      </c>
      <c r="H370">
        <v>2.8491620186642301E-2</v>
      </c>
      <c r="I370">
        <v>1.6590176397221299</v>
      </c>
      <c r="J370">
        <v>9.7143603432526399E-2</v>
      </c>
      <c r="K370" s="6">
        <f t="shared" si="5"/>
        <v>7.9821695740594278E-2</v>
      </c>
    </row>
    <row r="371" spans="1:11" x14ac:dyDescent="0.35">
      <c r="A371">
        <v>370</v>
      </c>
      <c r="B371">
        <v>370</v>
      </c>
      <c r="C371">
        <v>10500</v>
      </c>
      <c r="D371" t="s">
        <v>10</v>
      </c>
      <c r="E371">
        <v>5.2102889754725998</v>
      </c>
      <c r="F371">
        <v>1.4388297742735301</v>
      </c>
      <c r="G371">
        <v>-5.9466492339611203E-4</v>
      </c>
      <c r="H371">
        <v>2.7737055350487899E-2</v>
      </c>
      <c r="I371">
        <v>-2.1439367513309299E-2</v>
      </c>
      <c r="J371">
        <v>0.98289557749565304</v>
      </c>
      <c r="K371" s="6">
        <f t="shared" si="5"/>
        <v>7.7707718214096652E-2</v>
      </c>
    </row>
    <row r="372" spans="1:11" x14ac:dyDescent="0.35">
      <c r="A372">
        <v>371</v>
      </c>
      <c r="B372">
        <v>371</v>
      </c>
      <c r="C372">
        <v>11000</v>
      </c>
      <c r="D372" t="s">
        <v>10</v>
      </c>
      <c r="E372">
        <v>5.23063038349561</v>
      </c>
      <c r="F372">
        <v>1.3799554011370601</v>
      </c>
      <c r="G372">
        <v>-3.50656172192641E-2</v>
      </c>
      <c r="H372">
        <v>2.70723997139714E-2</v>
      </c>
      <c r="I372">
        <v>-1.2952533794471</v>
      </c>
      <c r="J372">
        <v>0.19526002331830999</v>
      </c>
      <c r="K372" s="6">
        <f t="shared" si="5"/>
        <v>7.5845628952666569E-2</v>
      </c>
    </row>
    <row r="373" spans="1:11" x14ac:dyDescent="0.35">
      <c r="A373">
        <v>372</v>
      </c>
      <c r="B373">
        <v>372</v>
      </c>
      <c r="C373">
        <v>11500</v>
      </c>
      <c r="D373" t="s">
        <v>10</v>
      </c>
      <c r="E373">
        <v>5.1802899997099896</v>
      </c>
      <c r="F373">
        <v>1.4418450689528901</v>
      </c>
      <c r="G373">
        <v>7.3301990091250893E-2</v>
      </c>
      <c r="H373">
        <v>2.6436764563522602E-2</v>
      </c>
      <c r="I373">
        <v>2.7727292390534402</v>
      </c>
      <c r="J373">
        <v>5.5677850026131202E-3</v>
      </c>
      <c r="K373" s="6">
        <f t="shared" si="5"/>
        <v>7.4064843049696474E-2</v>
      </c>
    </row>
    <row r="374" spans="1:11" x14ac:dyDescent="0.35">
      <c r="A374">
        <v>373</v>
      </c>
      <c r="B374">
        <v>373</v>
      </c>
      <c r="C374">
        <v>12000</v>
      </c>
      <c r="D374" t="s">
        <v>10</v>
      </c>
      <c r="E374">
        <v>5.2144892540475301</v>
      </c>
      <c r="F374">
        <v>1.3904930405567699</v>
      </c>
      <c r="G374">
        <v>1.1479488557795599E-2</v>
      </c>
      <c r="H374">
        <v>2.58598996791932E-2</v>
      </c>
      <c r="I374">
        <v>0.44391079239305598</v>
      </c>
      <c r="J374">
        <v>0.65711508688586096</v>
      </c>
      <c r="K374" s="6">
        <f t="shared" si="5"/>
        <v>7.2448707042732485E-2</v>
      </c>
    </row>
    <row r="375" spans="1:11" x14ac:dyDescent="0.35">
      <c r="A375">
        <v>374</v>
      </c>
      <c r="B375">
        <v>374</v>
      </c>
      <c r="C375">
        <v>12500</v>
      </c>
      <c r="D375" t="s">
        <v>10</v>
      </c>
      <c r="E375">
        <v>5.20880659037649</v>
      </c>
      <c r="F375">
        <v>1.4090591509364601</v>
      </c>
      <c r="G375">
        <v>2.25882253075807E-2</v>
      </c>
      <c r="H375">
        <v>2.53346728068015E-2</v>
      </c>
      <c r="I375">
        <v>0.89159333060407997</v>
      </c>
      <c r="J375">
        <v>0.37262811066262302</v>
      </c>
      <c r="K375" s="6">
        <f t="shared" si="5"/>
        <v>7.0977239315442989E-2</v>
      </c>
    </row>
    <row r="376" spans="1:11" x14ac:dyDescent="0.35">
      <c r="A376">
        <v>375</v>
      </c>
      <c r="B376">
        <v>375</v>
      </c>
      <c r="C376">
        <v>13000</v>
      </c>
      <c r="D376" t="s">
        <v>10</v>
      </c>
      <c r="E376">
        <v>5.2212154295857003</v>
      </c>
      <c r="F376">
        <v>1.4262272210891001</v>
      </c>
      <c r="G376">
        <v>4.5965223413839199E-3</v>
      </c>
      <c r="H376">
        <v>2.48136367325563E-2</v>
      </c>
      <c r="I376">
        <v>0.18524178422234799</v>
      </c>
      <c r="J376">
        <v>0.85304228738299004</v>
      </c>
      <c r="K376" s="6">
        <f t="shared" si="5"/>
        <v>6.9517512465378753E-2</v>
      </c>
    </row>
    <row r="377" spans="1:11" x14ac:dyDescent="0.35">
      <c r="A377">
        <v>376</v>
      </c>
      <c r="B377">
        <v>376</v>
      </c>
      <c r="C377">
        <v>13500</v>
      </c>
      <c r="D377" t="s">
        <v>10</v>
      </c>
      <c r="E377">
        <v>5.2231399075836702</v>
      </c>
      <c r="F377">
        <v>1.4078721412495301</v>
      </c>
      <c r="G377">
        <v>1.8754406623907601E-4</v>
      </c>
      <c r="H377">
        <v>2.4381103881191302E-2</v>
      </c>
      <c r="I377">
        <v>7.69218929351908E-3</v>
      </c>
      <c r="J377">
        <v>0.99386269512510494</v>
      </c>
      <c r="K377" s="6">
        <f t="shared" si="5"/>
        <v>6.830573491698734E-2</v>
      </c>
    </row>
    <row r="378" spans="1:11" x14ac:dyDescent="0.35">
      <c r="A378">
        <v>377</v>
      </c>
      <c r="B378">
        <v>377</v>
      </c>
      <c r="C378">
        <v>14000</v>
      </c>
      <c r="D378" t="s">
        <v>10</v>
      </c>
      <c r="E378">
        <v>5.2340355553478597</v>
      </c>
      <c r="F378">
        <v>1.4147845358501701</v>
      </c>
      <c r="G378">
        <v>-1.86075913315869E-2</v>
      </c>
      <c r="H378">
        <v>2.3939371700797699E-2</v>
      </c>
      <c r="I378">
        <v>-0.77727985362986496</v>
      </c>
      <c r="J378">
        <v>0.437006813797296</v>
      </c>
      <c r="K378" s="6">
        <f t="shared" si="5"/>
        <v>6.706818466637933E-2</v>
      </c>
    </row>
    <row r="379" spans="1:11" x14ac:dyDescent="0.35">
      <c r="A379">
        <v>378</v>
      </c>
      <c r="B379">
        <v>378</v>
      </c>
      <c r="C379">
        <v>1000</v>
      </c>
      <c r="D379" t="s">
        <v>10</v>
      </c>
      <c r="E379">
        <v>5.0517792168918003</v>
      </c>
      <c r="F379">
        <v>1.6263803006522399</v>
      </c>
      <c r="G379">
        <v>0.23440396716428599</v>
      </c>
      <c r="H379">
        <v>9.2894327796261097E-2</v>
      </c>
      <c r="I379">
        <v>2.5233399360872499</v>
      </c>
      <c r="J379">
        <v>1.17789511188921E-2</v>
      </c>
      <c r="K379" s="6">
        <f t="shared" si="5"/>
        <v>0.26025135533908816</v>
      </c>
    </row>
    <row r="380" spans="1:11" x14ac:dyDescent="0.35">
      <c r="A380">
        <v>379</v>
      </c>
      <c r="B380">
        <v>379</v>
      </c>
      <c r="C380">
        <v>1500</v>
      </c>
      <c r="D380" t="s">
        <v>10</v>
      </c>
      <c r="E380">
        <v>5.1853613359354398</v>
      </c>
      <c r="F380">
        <v>1.4577163839765801</v>
      </c>
      <c r="G380">
        <v>3.8401598296803903E-2</v>
      </c>
      <c r="H380">
        <v>7.4476299349468103E-2</v>
      </c>
      <c r="I380">
        <v>0.51562172976144405</v>
      </c>
      <c r="J380">
        <v>0.60619471738249298</v>
      </c>
      <c r="K380" s="6">
        <f t="shared" si="5"/>
        <v>0.2086516831129796</v>
      </c>
    </row>
    <row r="381" spans="1:11" x14ac:dyDescent="0.35">
      <c r="A381">
        <v>380</v>
      </c>
      <c r="B381">
        <v>380</v>
      </c>
      <c r="C381">
        <v>2000</v>
      </c>
      <c r="D381" t="s">
        <v>10</v>
      </c>
      <c r="E381">
        <v>5.15328119869329</v>
      </c>
      <c r="F381">
        <v>1.50753361122854</v>
      </c>
      <c r="G381">
        <v>0.11423232078951299</v>
      </c>
      <c r="H381">
        <v>6.4523593699508205E-2</v>
      </c>
      <c r="I381">
        <v>1.7703961332578999</v>
      </c>
      <c r="J381">
        <v>7.6813635899791899E-2</v>
      </c>
      <c r="K381" s="6">
        <f t="shared" si="5"/>
        <v>0.1807683322546367</v>
      </c>
    </row>
    <row r="382" spans="1:11" x14ac:dyDescent="0.35">
      <c r="A382">
        <v>381</v>
      </c>
      <c r="B382">
        <v>381</v>
      </c>
      <c r="C382">
        <v>2500</v>
      </c>
      <c r="D382" t="s">
        <v>10</v>
      </c>
      <c r="E382">
        <v>5.2041109350882104</v>
      </c>
      <c r="F382">
        <v>1.45864924913562</v>
      </c>
      <c r="G382">
        <v>-9.8633467324797507E-3</v>
      </c>
      <c r="H382">
        <v>5.7930282584616903E-2</v>
      </c>
      <c r="I382">
        <v>-0.17026236179795401</v>
      </c>
      <c r="J382">
        <v>0.86481759791787405</v>
      </c>
      <c r="K382" s="6">
        <f t="shared" si="5"/>
        <v>0.16229661073482396</v>
      </c>
    </row>
    <row r="383" spans="1:11" x14ac:dyDescent="0.35">
      <c r="A383">
        <v>382</v>
      </c>
      <c r="B383">
        <v>382</v>
      </c>
      <c r="C383">
        <v>3000</v>
      </c>
      <c r="D383" t="s">
        <v>10</v>
      </c>
      <c r="E383">
        <v>5.1947454119097198</v>
      </c>
      <c r="F383">
        <v>1.4523465380338201</v>
      </c>
      <c r="G383">
        <v>1.1258397128450901E-2</v>
      </c>
      <c r="H383">
        <v>5.2370580735791199E-2</v>
      </c>
      <c r="I383">
        <v>0.214975602146734</v>
      </c>
      <c r="J383">
        <v>0.82980096243155899</v>
      </c>
      <c r="K383" s="6">
        <f t="shared" si="5"/>
        <v>0.14672063343068159</v>
      </c>
    </row>
    <row r="384" spans="1:11" x14ac:dyDescent="0.35">
      <c r="A384">
        <v>383</v>
      </c>
      <c r="B384">
        <v>383</v>
      </c>
      <c r="C384">
        <v>3500</v>
      </c>
      <c r="D384" t="s">
        <v>10</v>
      </c>
      <c r="E384">
        <v>5.2188266535709804</v>
      </c>
      <c r="F384">
        <v>1.4140184934643001</v>
      </c>
      <c r="G384">
        <v>-3.3288747337382997E-2</v>
      </c>
      <c r="H384">
        <v>4.8946221695548103E-2</v>
      </c>
      <c r="I384">
        <v>-0.68010862093592095</v>
      </c>
      <c r="J384">
        <v>0.496480693679962</v>
      </c>
      <c r="K384" s="6">
        <f t="shared" si="5"/>
        <v>0.13712700050892215</v>
      </c>
    </row>
    <row r="385" spans="1:11" x14ac:dyDescent="0.35">
      <c r="A385">
        <v>384</v>
      </c>
      <c r="B385">
        <v>384</v>
      </c>
      <c r="C385">
        <v>4000</v>
      </c>
      <c r="D385" t="s">
        <v>10</v>
      </c>
      <c r="E385">
        <v>5.21149354889564</v>
      </c>
      <c r="F385">
        <v>1.43319065449359</v>
      </c>
      <c r="G385">
        <v>-1.1116100528451E-2</v>
      </c>
      <c r="H385">
        <v>4.5733536956137001E-2</v>
      </c>
      <c r="I385">
        <v>-0.243062340424543</v>
      </c>
      <c r="J385">
        <v>0.80796957369985101</v>
      </c>
      <c r="K385" s="6">
        <f t="shared" si="5"/>
        <v>0.12812639113325908</v>
      </c>
    </row>
    <row r="386" spans="1:11" x14ac:dyDescent="0.35">
      <c r="A386">
        <v>385</v>
      </c>
      <c r="B386">
        <v>385</v>
      </c>
      <c r="C386">
        <v>4500</v>
      </c>
      <c r="D386" t="s">
        <v>10</v>
      </c>
      <c r="E386">
        <v>5.2577942218114302</v>
      </c>
      <c r="F386">
        <v>1.3797542809096499</v>
      </c>
      <c r="G386">
        <v>-0.11057772270614601</v>
      </c>
      <c r="H386">
        <v>4.2929662704906398E-2</v>
      </c>
      <c r="I386">
        <v>-2.57578829505941</v>
      </c>
      <c r="J386">
        <v>1.00328188593653E-2</v>
      </c>
      <c r="K386" s="6">
        <f t="shared" si="5"/>
        <v>0.1202710990891252</v>
      </c>
    </row>
    <row r="387" spans="1:11" x14ac:dyDescent="0.35">
      <c r="A387">
        <v>386</v>
      </c>
      <c r="B387">
        <v>386</v>
      </c>
      <c r="C387">
        <v>5000</v>
      </c>
      <c r="D387" t="s">
        <v>10</v>
      </c>
      <c r="E387">
        <v>5.2245065054728199</v>
      </c>
      <c r="F387">
        <v>1.42270462962206</v>
      </c>
      <c r="G387">
        <v>-4.6993736337959703E-2</v>
      </c>
      <c r="H387">
        <v>4.0502113615739001E-2</v>
      </c>
      <c r="I387">
        <v>-1.1602786161682701</v>
      </c>
      <c r="J387">
        <v>0.245990807389423</v>
      </c>
      <c r="K387" s="6">
        <f t="shared" ref="K387:K450" si="6">H387*2.801585</f>
        <v>0.11347011397415016</v>
      </c>
    </row>
    <row r="388" spans="1:11" x14ac:dyDescent="0.35">
      <c r="A388">
        <v>387</v>
      </c>
      <c r="B388">
        <v>387</v>
      </c>
      <c r="C388">
        <v>5500</v>
      </c>
      <c r="D388" t="s">
        <v>10</v>
      </c>
      <c r="E388">
        <v>5.2352928463516104</v>
      </c>
      <c r="F388">
        <v>1.44413083617527</v>
      </c>
      <c r="G388">
        <v>-4.9148033534236302E-2</v>
      </c>
      <c r="H388">
        <v>3.8616649381445697E-2</v>
      </c>
      <c r="I388">
        <v>-1.27271615537547</v>
      </c>
      <c r="J388">
        <v>0.20317259964002901</v>
      </c>
      <c r="K388" s="6">
        <f t="shared" si="6"/>
        <v>0.10818782565731755</v>
      </c>
    </row>
    <row r="389" spans="1:11" x14ac:dyDescent="0.35">
      <c r="A389">
        <v>388</v>
      </c>
      <c r="B389">
        <v>388</v>
      </c>
      <c r="C389">
        <v>6000</v>
      </c>
      <c r="D389" t="s">
        <v>10</v>
      </c>
      <c r="E389">
        <v>5.1962871362194401</v>
      </c>
      <c r="F389">
        <v>1.4511171933156799</v>
      </c>
      <c r="G389">
        <v>4.7170486408457502E-2</v>
      </c>
      <c r="H389">
        <v>3.6989264040525702E-2</v>
      </c>
      <c r="I389">
        <v>1.2752480383707301</v>
      </c>
      <c r="J389">
        <v>0.20227085419901999</v>
      </c>
      <c r="K389" s="6">
        <f t="shared" si="6"/>
        <v>0.10362856729697621</v>
      </c>
    </row>
    <row r="390" spans="1:11" x14ac:dyDescent="0.35">
      <c r="A390">
        <v>389</v>
      </c>
      <c r="B390">
        <v>389</v>
      </c>
      <c r="C390">
        <v>6500</v>
      </c>
      <c r="D390" t="s">
        <v>10</v>
      </c>
      <c r="E390">
        <v>5.2507422416229996</v>
      </c>
      <c r="F390">
        <v>1.4009818033862</v>
      </c>
      <c r="G390">
        <v>-5.8320892392967602E-2</v>
      </c>
      <c r="H390">
        <v>3.5540702967401902E-2</v>
      </c>
      <c r="I390">
        <v>-1.6409605754410601</v>
      </c>
      <c r="J390">
        <v>0.10085399627050699</v>
      </c>
      <c r="K390" s="6">
        <f t="shared" si="6"/>
        <v>9.957030032292867E-2</v>
      </c>
    </row>
    <row r="391" spans="1:11" x14ac:dyDescent="0.35">
      <c r="A391">
        <v>390</v>
      </c>
      <c r="B391">
        <v>390</v>
      </c>
      <c r="C391">
        <v>7000</v>
      </c>
      <c r="D391" t="s">
        <v>10</v>
      </c>
      <c r="E391">
        <v>5.2238423098330502</v>
      </c>
      <c r="F391">
        <v>1.4232965174177901</v>
      </c>
      <c r="G391">
        <v>-6.74752918943372E-3</v>
      </c>
      <c r="H391">
        <v>3.4261426049114599E-2</v>
      </c>
      <c r="I391">
        <v>-0.19694245008252101</v>
      </c>
      <c r="J391">
        <v>0.84387829307811701</v>
      </c>
      <c r="K391" s="6">
        <f t="shared" si="6"/>
        <v>9.5986297297808734E-2</v>
      </c>
    </row>
    <row r="392" spans="1:11" x14ac:dyDescent="0.35">
      <c r="A392">
        <v>391</v>
      </c>
      <c r="B392">
        <v>391</v>
      </c>
      <c r="C392">
        <v>7500</v>
      </c>
      <c r="D392" t="s">
        <v>10</v>
      </c>
      <c r="E392">
        <v>5.2235522048538003</v>
      </c>
      <c r="F392">
        <v>1.4459682269415599</v>
      </c>
      <c r="G392">
        <v>-9.1582799972064807E-3</v>
      </c>
      <c r="H392">
        <v>3.2981990057108397E-2</v>
      </c>
      <c r="I392">
        <v>-0.27767517913106199</v>
      </c>
      <c r="J392">
        <v>0.78126937135084695</v>
      </c>
      <c r="K392" s="6">
        <f t="shared" si="6"/>
        <v>9.2401848614144036E-2</v>
      </c>
    </row>
    <row r="393" spans="1:11" x14ac:dyDescent="0.35">
      <c r="A393">
        <v>392</v>
      </c>
      <c r="B393">
        <v>392</v>
      </c>
      <c r="C393">
        <v>8000</v>
      </c>
      <c r="D393" t="s">
        <v>10</v>
      </c>
      <c r="E393">
        <v>5.1967659228434702</v>
      </c>
      <c r="F393">
        <v>1.4575219946740801</v>
      </c>
      <c r="G393">
        <v>4.7017138924684697E-2</v>
      </c>
      <c r="H393">
        <v>3.1867543539955502E-2</v>
      </c>
      <c r="I393">
        <v>1.47539263155739</v>
      </c>
      <c r="J393">
        <v>0.140146379282408</v>
      </c>
      <c r="K393" s="6">
        <f t="shared" si="6"/>
        <v>8.9279631968386244E-2</v>
      </c>
    </row>
    <row r="394" spans="1:11" x14ac:dyDescent="0.35">
      <c r="A394">
        <v>393</v>
      </c>
      <c r="B394">
        <v>393</v>
      </c>
      <c r="C394">
        <v>8500</v>
      </c>
      <c r="D394" t="s">
        <v>10</v>
      </c>
      <c r="E394">
        <v>5.1941347040429102</v>
      </c>
      <c r="F394">
        <v>1.44969142421348</v>
      </c>
      <c r="G394">
        <v>5.08957114329463E-2</v>
      </c>
      <c r="H394">
        <v>3.0961619735196101E-2</v>
      </c>
      <c r="I394">
        <v>1.6438323275151401</v>
      </c>
      <c r="J394">
        <v>0.100247833268319</v>
      </c>
      <c r="K394" s="6">
        <f t="shared" si="6"/>
        <v>8.6741609425829369E-2</v>
      </c>
    </row>
    <row r="395" spans="1:11" x14ac:dyDescent="0.35">
      <c r="A395">
        <v>394</v>
      </c>
      <c r="B395">
        <v>394</v>
      </c>
      <c r="C395">
        <v>9000</v>
      </c>
      <c r="D395" t="s">
        <v>10</v>
      </c>
      <c r="E395">
        <v>5.2248524980647701</v>
      </c>
      <c r="F395">
        <v>1.42268152691915</v>
      </c>
      <c r="G395">
        <v>-1.9912423060593199E-2</v>
      </c>
      <c r="H395">
        <v>3.00992952059119E-2</v>
      </c>
      <c r="I395">
        <v>-0.66155778480428296</v>
      </c>
      <c r="J395">
        <v>0.508271609920951</v>
      </c>
      <c r="K395" s="6">
        <f t="shared" si="6"/>
        <v>8.4325733959454696E-2</v>
      </c>
    </row>
    <row r="396" spans="1:11" x14ac:dyDescent="0.35">
      <c r="A396">
        <v>395</v>
      </c>
      <c r="B396">
        <v>395</v>
      </c>
      <c r="C396">
        <v>9500</v>
      </c>
      <c r="D396" t="s">
        <v>10</v>
      </c>
      <c r="E396">
        <v>5.2135784627239303</v>
      </c>
      <c r="F396">
        <v>1.3893416728401899</v>
      </c>
      <c r="G396">
        <v>-1.3591804119723E-2</v>
      </c>
      <c r="H396">
        <v>2.9276716636167498E-2</v>
      </c>
      <c r="I396">
        <v>-0.464253020194627</v>
      </c>
      <c r="J396">
        <v>0.64247711904868099</v>
      </c>
      <c r="K396" s="6">
        <f t="shared" si="6"/>
        <v>8.202121017713733E-2</v>
      </c>
    </row>
    <row r="397" spans="1:11" x14ac:dyDescent="0.35">
      <c r="A397">
        <v>396</v>
      </c>
      <c r="B397">
        <v>396</v>
      </c>
      <c r="C397">
        <v>10000</v>
      </c>
      <c r="D397" t="s">
        <v>10</v>
      </c>
      <c r="E397">
        <v>5.21013308967495</v>
      </c>
      <c r="F397">
        <v>1.4220009796776201</v>
      </c>
      <c r="G397">
        <v>-8.4830284946845694E-3</v>
      </c>
      <c r="H397">
        <v>2.85225436562924E-2</v>
      </c>
      <c r="I397">
        <v>-0.29741486583063198</v>
      </c>
      <c r="J397">
        <v>0.76615597472435504</v>
      </c>
      <c r="K397" s="6">
        <f t="shared" si="6"/>
        <v>7.9908330469313948E-2</v>
      </c>
    </row>
    <row r="398" spans="1:11" x14ac:dyDescent="0.35">
      <c r="A398">
        <v>397</v>
      </c>
      <c r="B398">
        <v>397</v>
      </c>
      <c r="C398">
        <v>10500</v>
      </c>
      <c r="D398" t="s">
        <v>10</v>
      </c>
      <c r="E398">
        <v>5.2055298831579604</v>
      </c>
      <c r="F398">
        <v>1.4426433144827799</v>
      </c>
      <c r="G398">
        <v>8.9764208158475307E-3</v>
      </c>
      <c r="H398">
        <v>2.7729896335499001E-2</v>
      </c>
      <c r="I398">
        <v>0.32370913714366101</v>
      </c>
      <c r="J398">
        <v>0.74616470092727405</v>
      </c>
      <c r="K398" s="6">
        <f t="shared" si="6"/>
        <v>7.7687661625088972E-2</v>
      </c>
    </row>
    <row r="399" spans="1:11" x14ac:dyDescent="0.35">
      <c r="A399">
        <v>398</v>
      </c>
      <c r="B399">
        <v>398</v>
      </c>
      <c r="C399">
        <v>11000</v>
      </c>
      <c r="D399" t="s">
        <v>10</v>
      </c>
      <c r="E399">
        <v>5.2059926607340703</v>
      </c>
      <c r="F399">
        <v>1.4106643828360601</v>
      </c>
      <c r="G399">
        <v>1.4346328843827499E-2</v>
      </c>
      <c r="H399">
        <v>2.7072455753234699E-2</v>
      </c>
      <c r="I399">
        <v>0.52992343858991497</v>
      </c>
      <c r="J399">
        <v>0.59617571209547804</v>
      </c>
      <c r="K399" s="6">
        <f t="shared" si="6"/>
        <v>7.5845785951426034E-2</v>
      </c>
    </row>
    <row r="400" spans="1:11" x14ac:dyDescent="0.35">
      <c r="A400">
        <v>399</v>
      </c>
      <c r="B400">
        <v>399</v>
      </c>
      <c r="C400">
        <v>11500</v>
      </c>
      <c r="D400" t="s">
        <v>10</v>
      </c>
      <c r="E400">
        <v>5.2357398954847296</v>
      </c>
      <c r="F400">
        <v>1.40355451065807</v>
      </c>
      <c r="G400">
        <v>-3.7031325746425599E-2</v>
      </c>
      <c r="H400">
        <v>2.6438272603071002E-2</v>
      </c>
      <c r="I400">
        <v>-1.4006711520980499</v>
      </c>
      <c r="J400">
        <v>0.16133941888292999</v>
      </c>
      <c r="K400" s="6">
        <f t="shared" si="6"/>
        <v>7.406906795067468E-2</v>
      </c>
    </row>
    <row r="401" spans="1:11" x14ac:dyDescent="0.35">
      <c r="A401">
        <v>400</v>
      </c>
      <c r="B401">
        <v>400</v>
      </c>
      <c r="C401">
        <v>12000</v>
      </c>
      <c r="D401" t="s">
        <v>10</v>
      </c>
      <c r="E401">
        <v>5.2064436735928998</v>
      </c>
      <c r="F401">
        <v>1.4153602804772401</v>
      </c>
      <c r="G401">
        <v>2.7261683718254201E-2</v>
      </c>
      <c r="H401">
        <v>2.58602186343438E-2</v>
      </c>
      <c r="I401">
        <v>1.054193860606</v>
      </c>
      <c r="J401">
        <v>0.29181539864327</v>
      </c>
      <c r="K401" s="6">
        <f t="shared" si="6"/>
        <v>7.2449600622698077E-2</v>
      </c>
    </row>
    <row r="402" spans="1:11" x14ac:dyDescent="0.35">
      <c r="A402">
        <v>401</v>
      </c>
      <c r="B402">
        <v>401</v>
      </c>
      <c r="C402">
        <v>12500</v>
      </c>
      <c r="D402" t="s">
        <v>10</v>
      </c>
      <c r="E402">
        <v>5.2505261899596301</v>
      </c>
      <c r="F402">
        <v>1.38219714924424</v>
      </c>
      <c r="G402">
        <v>-6.0873884700056703E-2</v>
      </c>
      <c r="H402">
        <v>2.5332799481648301E-2</v>
      </c>
      <c r="I402">
        <v>-2.4029671392676302</v>
      </c>
      <c r="J402">
        <v>1.6277131530481999E-2</v>
      </c>
      <c r="K402" s="6">
        <f t="shared" si="6"/>
        <v>7.0971991035793658E-2</v>
      </c>
    </row>
    <row r="403" spans="1:11" x14ac:dyDescent="0.35">
      <c r="A403">
        <v>402</v>
      </c>
      <c r="B403">
        <v>402</v>
      </c>
      <c r="C403">
        <v>13000</v>
      </c>
      <c r="D403" t="s">
        <v>10</v>
      </c>
      <c r="E403">
        <v>5.2338508183980803</v>
      </c>
      <c r="F403">
        <v>1.4110390244973301</v>
      </c>
      <c r="G403">
        <v>-2.05724063644998E-2</v>
      </c>
      <c r="H403">
        <v>2.4814589032100799E-2</v>
      </c>
      <c r="I403">
        <v>-0.82904481464056801</v>
      </c>
      <c r="J403">
        <v>0.40709427272895299</v>
      </c>
      <c r="K403" s="6">
        <f t="shared" si="6"/>
        <v>6.9520180413498125E-2</v>
      </c>
    </row>
    <row r="404" spans="1:11" x14ac:dyDescent="0.35">
      <c r="A404">
        <v>403</v>
      </c>
      <c r="B404">
        <v>403</v>
      </c>
      <c r="C404">
        <v>13500</v>
      </c>
      <c r="D404" t="s">
        <v>10</v>
      </c>
      <c r="E404">
        <v>5.2135834161489996</v>
      </c>
      <c r="F404">
        <v>1.43452450962536</v>
      </c>
      <c r="G404">
        <v>1.93297489541139E-2</v>
      </c>
      <c r="H404">
        <v>2.43742852956997E-2</v>
      </c>
      <c r="I404">
        <v>0.79303859455211401</v>
      </c>
      <c r="J404">
        <v>0.42776927599650699</v>
      </c>
      <c r="K404" s="6">
        <f t="shared" si="6"/>
        <v>6.8286632070152856E-2</v>
      </c>
    </row>
    <row r="405" spans="1:11" x14ac:dyDescent="0.35">
      <c r="A405">
        <v>404</v>
      </c>
      <c r="B405">
        <v>404</v>
      </c>
      <c r="C405">
        <v>14000</v>
      </c>
      <c r="D405" t="s">
        <v>10</v>
      </c>
      <c r="E405">
        <v>5.22339892158372</v>
      </c>
      <c r="F405">
        <v>1.41600689800443</v>
      </c>
      <c r="G405">
        <v>2.4924861763113999E-3</v>
      </c>
      <c r="H405">
        <v>2.3939576234148201E-2</v>
      </c>
      <c r="I405">
        <v>0.104115718337405</v>
      </c>
      <c r="J405">
        <v>0.91707900883062499</v>
      </c>
      <c r="K405" s="6">
        <f t="shared" si="6"/>
        <v>6.7068757683946101E-2</v>
      </c>
    </row>
    <row r="406" spans="1:11" x14ac:dyDescent="0.35">
      <c r="A406">
        <v>405</v>
      </c>
      <c r="B406">
        <v>405</v>
      </c>
      <c r="C406">
        <v>1000</v>
      </c>
      <c r="D406" t="s">
        <v>10</v>
      </c>
      <c r="E406">
        <v>5.1167192578851903</v>
      </c>
      <c r="F406">
        <v>1.49143517083588</v>
      </c>
      <c r="G406">
        <v>9.8774351789162704E-2</v>
      </c>
      <c r="H406">
        <v>9.3584138003153503E-2</v>
      </c>
      <c r="I406">
        <v>1.0554604006272299</v>
      </c>
      <c r="J406">
        <v>0.29147024707425701</v>
      </c>
      <c r="K406" s="6">
        <f t="shared" si="6"/>
        <v>0.26218391726756485</v>
      </c>
    </row>
    <row r="407" spans="1:11" x14ac:dyDescent="0.35">
      <c r="A407">
        <v>406</v>
      </c>
      <c r="B407">
        <v>406</v>
      </c>
      <c r="C407">
        <v>1500</v>
      </c>
      <c r="D407" t="s">
        <v>10</v>
      </c>
      <c r="E407">
        <v>5.2337362670239704</v>
      </c>
      <c r="F407">
        <v>1.4694788045948</v>
      </c>
      <c r="G407">
        <v>-5.8291548540429498E-2</v>
      </c>
      <c r="H407">
        <v>7.4507280338568405E-2</v>
      </c>
      <c r="I407">
        <v>-0.78236043881278405</v>
      </c>
      <c r="J407">
        <v>0.43412642569995502</v>
      </c>
      <c r="K407" s="6">
        <f t="shared" si="6"/>
        <v>0.20873847898732817</v>
      </c>
    </row>
    <row r="408" spans="1:11" x14ac:dyDescent="0.35">
      <c r="A408">
        <v>407</v>
      </c>
      <c r="B408">
        <v>407</v>
      </c>
      <c r="C408">
        <v>2000</v>
      </c>
      <c r="D408" t="s">
        <v>10</v>
      </c>
      <c r="E408">
        <v>5.2031082449206796</v>
      </c>
      <c r="F408">
        <v>1.4330646073804501</v>
      </c>
      <c r="G408">
        <v>1.64091024491522E-2</v>
      </c>
      <c r="H408">
        <v>6.4569777527923297E-2</v>
      </c>
      <c r="I408">
        <v>0.25412976592734898</v>
      </c>
      <c r="J408">
        <v>0.79942145787426799</v>
      </c>
      <c r="K408" s="6">
        <f t="shared" si="6"/>
        <v>0.18089772017556702</v>
      </c>
    </row>
    <row r="409" spans="1:11" x14ac:dyDescent="0.35">
      <c r="A409">
        <v>408</v>
      </c>
      <c r="B409">
        <v>408</v>
      </c>
      <c r="C409">
        <v>2500</v>
      </c>
      <c r="D409" t="s">
        <v>10</v>
      </c>
      <c r="E409">
        <v>5.19276900243438</v>
      </c>
      <c r="F409">
        <v>1.47931519547822</v>
      </c>
      <c r="G409">
        <v>1.2208520821789101E-2</v>
      </c>
      <c r="H409">
        <v>5.79832055307049E-2</v>
      </c>
      <c r="I409">
        <v>0.21055270590937</v>
      </c>
      <c r="J409">
        <v>0.83325349278854699</v>
      </c>
      <c r="K409" s="6">
        <f t="shared" si="6"/>
        <v>0.16244487886673989</v>
      </c>
    </row>
    <row r="410" spans="1:11" x14ac:dyDescent="0.35">
      <c r="A410">
        <v>409</v>
      </c>
      <c r="B410">
        <v>409</v>
      </c>
      <c r="C410">
        <v>3000</v>
      </c>
      <c r="D410" t="s">
        <v>10</v>
      </c>
      <c r="E410">
        <v>5.1629397867042703</v>
      </c>
      <c r="F410">
        <v>1.4354051558694001</v>
      </c>
      <c r="G410">
        <v>7.5508135877413105E-2</v>
      </c>
      <c r="H410">
        <v>5.23321523749938E-2</v>
      </c>
      <c r="I410">
        <v>1.4428631816316</v>
      </c>
      <c r="J410">
        <v>0.14916348484516401</v>
      </c>
      <c r="K410" s="6">
        <f t="shared" si="6"/>
        <v>0.14661297311149701</v>
      </c>
    </row>
    <row r="411" spans="1:11" x14ac:dyDescent="0.35">
      <c r="A411">
        <v>410</v>
      </c>
      <c r="B411">
        <v>410</v>
      </c>
      <c r="C411">
        <v>3500</v>
      </c>
      <c r="D411" t="s">
        <v>10</v>
      </c>
      <c r="E411">
        <v>5.2000580645229499</v>
      </c>
      <c r="F411">
        <v>1.43884594371849</v>
      </c>
      <c r="G411">
        <v>4.3984378828120004E-3</v>
      </c>
      <c r="H411">
        <v>4.8932893920356997E-2</v>
      </c>
      <c r="I411">
        <v>8.9887139926178902E-2</v>
      </c>
      <c r="J411">
        <v>0.92838204678509495</v>
      </c>
      <c r="K411" s="6">
        <f t="shared" si="6"/>
        <v>0.13708966161386338</v>
      </c>
    </row>
    <row r="412" spans="1:11" x14ac:dyDescent="0.35">
      <c r="A412">
        <v>411</v>
      </c>
      <c r="B412">
        <v>411</v>
      </c>
      <c r="C412">
        <v>4000</v>
      </c>
      <c r="D412" t="s">
        <v>10</v>
      </c>
      <c r="E412">
        <v>5.2024188934467501</v>
      </c>
      <c r="F412">
        <v>1.4276867530472099</v>
      </c>
      <c r="G412">
        <v>6.7249076533301101E-3</v>
      </c>
      <c r="H412">
        <v>4.57328049662096E-2</v>
      </c>
      <c r="I412">
        <v>0.147047784589179</v>
      </c>
      <c r="J412">
        <v>0.88310171800982895</v>
      </c>
      <c r="K412" s="6">
        <f t="shared" si="6"/>
        <v>0.12812434040125834</v>
      </c>
    </row>
    <row r="413" spans="1:11" x14ac:dyDescent="0.35">
      <c r="A413">
        <v>412</v>
      </c>
      <c r="B413">
        <v>412</v>
      </c>
      <c r="C413">
        <v>4500</v>
      </c>
      <c r="D413" t="s">
        <v>10</v>
      </c>
      <c r="E413">
        <v>5.2225705111407503</v>
      </c>
      <c r="F413">
        <v>1.38978134610323</v>
      </c>
      <c r="G413">
        <v>-3.9971060582830099E-2</v>
      </c>
      <c r="H413">
        <v>4.2975117202299302E-2</v>
      </c>
      <c r="I413">
        <v>-0.930097767847193</v>
      </c>
      <c r="J413">
        <v>0.35237037944955102</v>
      </c>
      <c r="K413" s="6">
        <f t="shared" si="6"/>
        <v>0.12039844372720369</v>
      </c>
    </row>
    <row r="414" spans="1:11" x14ac:dyDescent="0.35">
      <c r="A414">
        <v>413</v>
      </c>
      <c r="B414">
        <v>413</v>
      </c>
      <c r="C414">
        <v>5000</v>
      </c>
      <c r="D414" t="s">
        <v>10</v>
      </c>
      <c r="E414">
        <v>5.2071757495330697</v>
      </c>
      <c r="F414">
        <v>1.44266322826703</v>
      </c>
      <c r="G414">
        <v>-1.1656398199680101E-2</v>
      </c>
      <c r="H414">
        <v>4.0506253291201E-2</v>
      </c>
      <c r="I414">
        <v>-0.28776786921964398</v>
      </c>
      <c r="J414">
        <v>0.77353636531307701</v>
      </c>
      <c r="K414" s="6">
        <f t="shared" si="6"/>
        <v>0.11348171162682937</v>
      </c>
    </row>
    <row r="415" spans="1:11" x14ac:dyDescent="0.35">
      <c r="A415">
        <v>414</v>
      </c>
      <c r="B415">
        <v>414</v>
      </c>
      <c r="C415">
        <v>5500</v>
      </c>
      <c r="D415" t="s">
        <v>10</v>
      </c>
      <c r="E415">
        <v>5.1908703438379202</v>
      </c>
      <c r="F415">
        <v>1.44059805445484</v>
      </c>
      <c r="G415">
        <v>3.8418619403564003E-2</v>
      </c>
      <c r="H415">
        <v>3.8582110011566001E-2</v>
      </c>
      <c r="I415">
        <v>0.99576252807446397</v>
      </c>
      <c r="J415">
        <v>0.319409362827895</v>
      </c>
      <c r="K415" s="6">
        <f t="shared" si="6"/>
        <v>0.10809106067675314</v>
      </c>
    </row>
    <row r="416" spans="1:11" x14ac:dyDescent="0.35">
      <c r="A416">
        <v>415</v>
      </c>
      <c r="B416">
        <v>415</v>
      </c>
      <c r="C416">
        <v>6000</v>
      </c>
      <c r="D416" t="s">
        <v>10</v>
      </c>
      <c r="E416">
        <v>5.17117635649159</v>
      </c>
      <c r="F416">
        <v>1.4576805831358099</v>
      </c>
      <c r="G416">
        <v>9.6689253420686405E-2</v>
      </c>
      <c r="H416">
        <v>3.6984502938739998E-2</v>
      </c>
      <c r="I416">
        <v>2.6143180450698398</v>
      </c>
      <c r="J416">
        <v>8.9629306772216494E-3</v>
      </c>
      <c r="K416" s="6">
        <f t="shared" si="6"/>
        <v>0.1036152286656299</v>
      </c>
    </row>
    <row r="417" spans="1:11" x14ac:dyDescent="0.35">
      <c r="A417">
        <v>416</v>
      </c>
      <c r="B417">
        <v>416</v>
      </c>
      <c r="C417">
        <v>6500</v>
      </c>
      <c r="D417" t="s">
        <v>10</v>
      </c>
      <c r="E417">
        <v>5.2127138738010999</v>
      </c>
      <c r="F417">
        <v>1.4378481866003701</v>
      </c>
      <c r="G417">
        <v>1.73410285211151E-2</v>
      </c>
      <c r="H417">
        <v>3.5557510753588401E-2</v>
      </c>
      <c r="I417">
        <v>0.48768960913173698</v>
      </c>
      <c r="J417">
        <v>0.62578616615229499</v>
      </c>
      <c r="K417" s="6">
        <f t="shared" si="6"/>
        <v>9.961738876459196E-2</v>
      </c>
    </row>
    <row r="418" spans="1:11" x14ac:dyDescent="0.35">
      <c r="A418">
        <v>417</v>
      </c>
      <c r="B418">
        <v>417</v>
      </c>
      <c r="C418">
        <v>7000</v>
      </c>
      <c r="D418" t="s">
        <v>10</v>
      </c>
      <c r="E418">
        <v>5.2064329141729502</v>
      </c>
      <c r="F418">
        <v>1.4404217699134001</v>
      </c>
      <c r="G418">
        <v>2.8343505581966098E-2</v>
      </c>
      <c r="H418">
        <v>3.4252416810558003E-2</v>
      </c>
      <c r="I418">
        <v>0.82748921743908599</v>
      </c>
      <c r="J418">
        <v>0.40798804729322302</v>
      </c>
      <c r="K418" s="6">
        <f t="shared" si="6"/>
        <v>9.5961057150207155E-2</v>
      </c>
    </row>
    <row r="419" spans="1:11" x14ac:dyDescent="0.35">
      <c r="A419">
        <v>418</v>
      </c>
      <c r="B419">
        <v>418</v>
      </c>
      <c r="C419">
        <v>7500</v>
      </c>
      <c r="D419" t="s">
        <v>10</v>
      </c>
      <c r="E419">
        <v>5.2024888188633298</v>
      </c>
      <c r="F419">
        <v>1.46781495239795</v>
      </c>
      <c r="G419">
        <v>3.3104472607626001E-2</v>
      </c>
      <c r="H419">
        <v>3.2967694136915103E-2</v>
      </c>
      <c r="I419">
        <v>1.0041488637374201</v>
      </c>
      <c r="J419">
        <v>0.31533926967687498</v>
      </c>
      <c r="K419" s="6">
        <f t="shared" si="6"/>
        <v>9.236179737856931E-2</v>
      </c>
    </row>
    <row r="420" spans="1:11" x14ac:dyDescent="0.35">
      <c r="A420">
        <v>419</v>
      </c>
      <c r="B420">
        <v>419</v>
      </c>
      <c r="C420">
        <v>8000</v>
      </c>
      <c r="D420" t="s">
        <v>10</v>
      </c>
      <c r="E420">
        <v>5.2074095702687604</v>
      </c>
      <c r="F420">
        <v>1.46212048255476</v>
      </c>
      <c r="G420">
        <v>2.5791239103922701E-2</v>
      </c>
      <c r="H420">
        <v>3.18721870385077E-2</v>
      </c>
      <c r="I420">
        <v>0.809208325514719</v>
      </c>
      <c r="J420">
        <v>0.41841939850829502</v>
      </c>
      <c r="K420" s="6">
        <f t="shared" si="6"/>
        <v>8.9292641124277608E-2</v>
      </c>
    </row>
    <row r="421" spans="1:11" x14ac:dyDescent="0.35">
      <c r="A421">
        <v>420</v>
      </c>
      <c r="B421">
        <v>420</v>
      </c>
      <c r="C421">
        <v>8500</v>
      </c>
      <c r="D421" t="s">
        <v>10</v>
      </c>
      <c r="E421">
        <v>5.2426229551433803</v>
      </c>
      <c r="F421">
        <v>1.4332979312024801</v>
      </c>
      <c r="G421">
        <v>-4.6464966384756001E-2</v>
      </c>
      <c r="H421">
        <v>3.0953975492436399E-2</v>
      </c>
      <c r="I421">
        <v>-1.5010985065911699</v>
      </c>
      <c r="J421">
        <v>0.13336723761174199</v>
      </c>
      <c r="K421" s="6">
        <f t="shared" si="6"/>
        <v>8.672019342997743E-2</v>
      </c>
    </row>
    <row r="422" spans="1:11" x14ac:dyDescent="0.35">
      <c r="A422">
        <v>421</v>
      </c>
      <c r="B422">
        <v>421</v>
      </c>
      <c r="C422">
        <v>9000</v>
      </c>
      <c r="D422" t="s">
        <v>10</v>
      </c>
      <c r="E422">
        <v>5.2111560261505803</v>
      </c>
      <c r="F422">
        <v>1.44515179876977</v>
      </c>
      <c r="G422">
        <v>7.2839920903939098E-3</v>
      </c>
      <c r="H422">
        <v>3.0104784624029799E-2</v>
      </c>
      <c r="I422">
        <v>0.24195463217430799</v>
      </c>
      <c r="J422">
        <v>0.80882083100401603</v>
      </c>
      <c r="K422" s="6">
        <f t="shared" si="6"/>
        <v>8.4341113030912532E-2</v>
      </c>
    </row>
    <row r="423" spans="1:11" x14ac:dyDescent="0.35">
      <c r="A423">
        <v>422</v>
      </c>
      <c r="B423">
        <v>422</v>
      </c>
      <c r="C423">
        <v>9500</v>
      </c>
      <c r="D423" t="s">
        <v>10</v>
      </c>
      <c r="E423">
        <v>5.2275424212911599</v>
      </c>
      <c r="F423">
        <v>1.4047483601481201</v>
      </c>
      <c r="G423">
        <v>-4.1263000762664398E-2</v>
      </c>
      <c r="H423">
        <v>2.9260905700265901E-2</v>
      </c>
      <c r="I423">
        <v>-1.41017510480851</v>
      </c>
      <c r="J423">
        <v>0.158520730945652</v>
      </c>
      <c r="K423" s="6">
        <f t="shared" si="6"/>
        <v>8.1976914496279446E-2</v>
      </c>
    </row>
    <row r="424" spans="1:11" x14ac:dyDescent="0.35">
      <c r="A424">
        <v>423</v>
      </c>
      <c r="B424">
        <v>423</v>
      </c>
      <c r="C424">
        <v>10000</v>
      </c>
      <c r="D424" t="s">
        <v>10</v>
      </c>
      <c r="E424">
        <v>5.2239509057652</v>
      </c>
      <c r="F424">
        <v>1.40943125685588</v>
      </c>
      <c r="G424">
        <v>-3.6182993810279597E-2</v>
      </c>
      <c r="H424">
        <v>2.85215517193463E-2</v>
      </c>
      <c r="I424">
        <v>-1.26861939933431</v>
      </c>
      <c r="J424">
        <v>0.20460637788163499</v>
      </c>
      <c r="K424" s="6">
        <f t="shared" si="6"/>
        <v>7.9905551473644809E-2</v>
      </c>
    </row>
    <row r="425" spans="1:11" x14ac:dyDescent="0.35">
      <c r="A425">
        <v>424</v>
      </c>
      <c r="B425">
        <v>424</v>
      </c>
      <c r="C425">
        <v>10500</v>
      </c>
      <c r="D425" t="s">
        <v>10</v>
      </c>
      <c r="E425">
        <v>5.1852179923156996</v>
      </c>
      <c r="F425">
        <v>1.4331405673428199</v>
      </c>
      <c r="G425">
        <v>4.8555874119987998E-2</v>
      </c>
      <c r="H425">
        <v>2.7746286900318499E-2</v>
      </c>
      <c r="I425">
        <v>1.7499953883714301</v>
      </c>
      <c r="J425">
        <v>8.0148323626048498E-2</v>
      </c>
      <c r="K425" s="6">
        <f t="shared" si="6"/>
        <v>7.7733581185628814E-2</v>
      </c>
    </row>
    <row r="426" spans="1:11" x14ac:dyDescent="0.35">
      <c r="A426">
        <v>425</v>
      </c>
      <c r="B426">
        <v>425</v>
      </c>
      <c r="C426">
        <v>11000</v>
      </c>
      <c r="D426" t="s">
        <v>10</v>
      </c>
      <c r="E426">
        <v>5.2207821306074198</v>
      </c>
      <c r="F426">
        <v>1.4202031416160701</v>
      </c>
      <c r="G426">
        <v>-1.5212393837809901E-2</v>
      </c>
      <c r="H426">
        <v>2.7071291071797999E-2</v>
      </c>
      <c r="I426">
        <v>-0.56193824658985903</v>
      </c>
      <c r="J426">
        <v>0.57416954553421495</v>
      </c>
      <c r="K426" s="6">
        <f t="shared" si="6"/>
        <v>7.5842522997383199E-2</v>
      </c>
    </row>
    <row r="427" spans="1:11" x14ac:dyDescent="0.35">
      <c r="A427">
        <v>426</v>
      </c>
      <c r="B427">
        <v>426</v>
      </c>
      <c r="C427">
        <v>11500</v>
      </c>
      <c r="D427" t="s">
        <v>10</v>
      </c>
      <c r="E427">
        <v>5.2126294684066403</v>
      </c>
      <c r="F427">
        <v>1.41646376301657</v>
      </c>
      <c r="G427">
        <v>8.4559015462435903E-3</v>
      </c>
      <c r="H427">
        <v>2.64508878851204E-2</v>
      </c>
      <c r="I427">
        <v>0.31968308901268899</v>
      </c>
      <c r="J427">
        <v>0.749214388784049</v>
      </c>
      <c r="K427" s="6">
        <f t="shared" si="6"/>
        <v>7.4104410735635035E-2</v>
      </c>
    </row>
    <row r="428" spans="1:11" x14ac:dyDescent="0.35">
      <c r="A428">
        <v>427</v>
      </c>
      <c r="B428">
        <v>427</v>
      </c>
      <c r="C428">
        <v>12000</v>
      </c>
      <c r="D428" t="s">
        <v>10</v>
      </c>
      <c r="E428">
        <v>5.18917218291688</v>
      </c>
      <c r="F428">
        <v>1.4405773548738099</v>
      </c>
      <c r="G428">
        <v>6.1948434992446198E-2</v>
      </c>
      <c r="H428">
        <v>2.5856429977849201E-2</v>
      </c>
      <c r="I428">
        <v>2.3958618821514199</v>
      </c>
      <c r="J428">
        <v>1.6596560571087101E-2</v>
      </c>
      <c r="K428" s="6">
        <f t="shared" si="6"/>
        <v>7.2438986379492656E-2</v>
      </c>
    </row>
    <row r="429" spans="1:11" x14ac:dyDescent="0.35">
      <c r="A429">
        <v>428</v>
      </c>
      <c r="B429">
        <v>428</v>
      </c>
      <c r="C429">
        <v>12500</v>
      </c>
      <c r="D429" t="s">
        <v>10</v>
      </c>
      <c r="E429">
        <v>5.2128807254023402</v>
      </c>
      <c r="F429">
        <v>1.4402485105693399</v>
      </c>
      <c r="G429">
        <v>1.4517662491168599E-2</v>
      </c>
      <c r="H429">
        <v>2.5336966564349601E-2</v>
      </c>
      <c r="I429">
        <v>0.57298344907616605</v>
      </c>
      <c r="J429">
        <v>0.56666620866316997</v>
      </c>
      <c r="K429" s="6">
        <f t="shared" si="6"/>
        <v>7.0983665472183377E-2</v>
      </c>
    </row>
    <row r="430" spans="1:11" x14ac:dyDescent="0.35">
      <c r="A430">
        <v>429</v>
      </c>
      <c r="B430">
        <v>429</v>
      </c>
      <c r="C430">
        <v>13000</v>
      </c>
      <c r="D430" t="s">
        <v>10</v>
      </c>
      <c r="E430">
        <v>5.2317533133862302</v>
      </c>
      <c r="F430">
        <v>1.41714572030602</v>
      </c>
      <c r="G430">
        <v>-1.6606187688827899E-2</v>
      </c>
      <c r="H430">
        <v>2.4815011421547298E-2</v>
      </c>
      <c r="I430">
        <v>-0.66919927646732802</v>
      </c>
      <c r="J430">
        <v>0.50338025344933501</v>
      </c>
      <c r="K430" s="6">
        <f t="shared" si="6"/>
        <v>6.9521363773435596E-2</v>
      </c>
    </row>
    <row r="431" spans="1:11" x14ac:dyDescent="0.35">
      <c r="A431">
        <v>430</v>
      </c>
      <c r="B431">
        <v>430</v>
      </c>
      <c r="C431">
        <v>13500</v>
      </c>
      <c r="D431" t="s">
        <v>10</v>
      </c>
      <c r="E431">
        <v>5.2204884292763198</v>
      </c>
      <c r="F431">
        <v>1.4042348238184399</v>
      </c>
      <c r="G431">
        <v>5.4695852625023999E-3</v>
      </c>
      <c r="H431">
        <v>2.4374596140355E-2</v>
      </c>
      <c r="I431">
        <v>0.224396959482207</v>
      </c>
      <c r="J431">
        <v>0.82245183280062595</v>
      </c>
      <c r="K431" s="6">
        <f t="shared" si="6"/>
        <v>6.828750292787647E-2</v>
      </c>
    </row>
    <row r="432" spans="1:11" x14ac:dyDescent="0.35">
      <c r="A432">
        <v>431</v>
      </c>
      <c r="B432">
        <v>431</v>
      </c>
      <c r="C432">
        <v>14000</v>
      </c>
      <c r="D432" t="s">
        <v>10</v>
      </c>
      <c r="E432">
        <v>5.2203955043625196</v>
      </c>
      <c r="F432">
        <v>1.4167930873675101</v>
      </c>
      <c r="G432">
        <v>8.4225238798800103E-3</v>
      </c>
      <c r="H432">
        <v>2.3940790722297E-2</v>
      </c>
      <c r="I432">
        <v>0.35180642016288</v>
      </c>
      <c r="J432">
        <v>0.72498873899102401</v>
      </c>
      <c r="K432" s="6">
        <f t="shared" si="6"/>
        <v>6.7072160175726439E-2</v>
      </c>
    </row>
    <row r="433" spans="1:11" x14ac:dyDescent="0.35">
      <c r="A433">
        <v>432</v>
      </c>
      <c r="B433">
        <v>432</v>
      </c>
      <c r="C433">
        <v>1000</v>
      </c>
      <c r="D433" t="s">
        <v>10</v>
      </c>
      <c r="E433">
        <v>5.2104494855777803</v>
      </c>
      <c r="F433">
        <v>1.41937607352007</v>
      </c>
      <c r="G433">
        <v>-8.2639265933672601E-2</v>
      </c>
      <c r="H433">
        <v>9.3337939125280794E-2</v>
      </c>
      <c r="I433">
        <v>-0.88537701505013799</v>
      </c>
      <c r="J433">
        <v>0.37616659353757997</v>
      </c>
      <c r="K433" s="6">
        <f t="shared" si="6"/>
        <v>0.26149417018429982</v>
      </c>
    </row>
    <row r="434" spans="1:11" x14ac:dyDescent="0.35">
      <c r="A434">
        <v>433</v>
      </c>
      <c r="B434">
        <v>433</v>
      </c>
      <c r="C434">
        <v>1500</v>
      </c>
      <c r="D434" t="s">
        <v>10</v>
      </c>
      <c r="E434">
        <v>5.2118863345195203</v>
      </c>
      <c r="F434">
        <v>1.42173812726084</v>
      </c>
      <c r="G434">
        <v>-1.39944385872163E-2</v>
      </c>
      <c r="H434">
        <v>7.4567555153706402E-2</v>
      </c>
      <c r="I434">
        <v>-0.18767463353692501</v>
      </c>
      <c r="J434">
        <v>0.85115713326638698</v>
      </c>
      <c r="K434" s="6">
        <f t="shared" si="6"/>
        <v>0.20890734400529656</v>
      </c>
    </row>
    <row r="435" spans="1:11" x14ac:dyDescent="0.35">
      <c r="A435">
        <v>434</v>
      </c>
      <c r="B435">
        <v>434</v>
      </c>
      <c r="C435">
        <v>2000</v>
      </c>
      <c r="D435" t="s">
        <v>10</v>
      </c>
      <c r="E435">
        <v>5.2072806242954499</v>
      </c>
      <c r="F435">
        <v>1.44887323612031</v>
      </c>
      <c r="G435">
        <v>7.2367392404615802E-3</v>
      </c>
      <c r="H435">
        <v>6.4565008083121406E-2</v>
      </c>
      <c r="I435">
        <v>0.11208454014510399</v>
      </c>
      <c r="J435">
        <v>0.91076763427962304</v>
      </c>
      <c r="K435" s="6">
        <f t="shared" si="6"/>
        <v>0.18088435817055171</v>
      </c>
    </row>
    <row r="436" spans="1:11" x14ac:dyDescent="0.35">
      <c r="A436">
        <v>435</v>
      </c>
      <c r="B436">
        <v>435</v>
      </c>
      <c r="C436">
        <v>2500</v>
      </c>
      <c r="D436" t="s">
        <v>10</v>
      </c>
      <c r="E436">
        <v>5.1664506317931203</v>
      </c>
      <c r="F436">
        <v>1.47475726033044</v>
      </c>
      <c r="G436">
        <v>6.3668815921844701E-2</v>
      </c>
      <c r="H436">
        <v>5.7942161773292297E-2</v>
      </c>
      <c r="I436">
        <v>1.0988339746618201</v>
      </c>
      <c r="J436">
        <v>0.27194638386859399</v>
      </c>
      <c r="K436" s="6">
        <f t="shared" si="6"/>
        <v>0.16232989129162911</v>
      </c>
    </row>
    <row r="437" spans="1:11" x14ac:dyDescent="0.35">
      <c r="A437">
        <v>436</v>
      </c>
      <c r="B437">
        <v>436</v>
      </c>
      <c r="C437">
        <v>3000</v>
      </c>
      <c r="D437" t="s">
        <v>10</v>
      </c>
      <c r="E437">
        <v>5.2210291699746003</v>
      </c>
      <c r="F437">
        <v>1.4491382422468899</v>
      </c>
      <c r="G437">
        <v>-4.1394790451515603E-2</v>
      </c>
      <c r="H437">
        <v>5.2339434366898002E-2</v>
      </c>
      <c r="I437">
        <v>-0.79089105475117005</v>
      </c>
      <c r="J437">
        <v>0.42907012879614698</v>
      </c>
      <c r="K437" s="6">
        <f t="shared" si="6"/>
        <v>0.14663337423078596</v>
      </c>
    </row>
    <row r="438" spans="1:11" x14ac:dyDescent="0.35">
      <c r="A438">
        <v>437</v>
      </c>
      <c r="B438">
        <v>437</v>
      </c>
      <c r="C438">
        <v>3500</v>
      </c>
      <c r="D438" t="s">
        <v>10</v>
      </c>
      <c r="E438">
        <v>5.1796814897410997</v>
      </c>
      <c r="F438">
        <v>1.44385922422316</v>
      </c>
      <c r="G438">
        <v>4.3790505557871E-2</v>
      </c>
      <c r="H438">
        <v>4.89489527823391E-2</v>
      </c>
      <c r="I438">
        <v>0.89461577967957695</v>
      </c>
      <c r="J438">
        <v>0.37105406406257102</v>
      </c>
      <c r="K438" s="6">
        <f t="shared" si="6"/>
        <v>0.1371346518807095</v>
      </c>
    </row>
    <row r="439" spans="1:11" x14ac:dyDescent="0.35">
      <c r="A439">
        <v>438</v>
      </c>
      <c r="B439">
        <v>438</v>
      </c>
      <c r="C439">
        <v>4000</v>
      </c>
      <c r="D439" t="s">
        <v>10</v>
      </c>
      <c r="E439">
        <v>5.2324951300104798</v>
      </c>
      <c r="F439">
        <v>1.4580857277410699</v>
      </c>
      <c r="G439">
        <v>-5.2930581180508002E-2</v>
      </c>
      <c r="H439">
        <v>4.5740400068526997E-2</v>
      </c>
      <c r="I439">
        <v>-1.15719541370886</v>
      </c>
      <c r="J439">
        <v>0.247261663516055</v>
      </c>
      <c r="K439" s="6">
        <f t="shared" si="6"/>
        <v>0.12814561872598421</v>
      </c>
    </row>
    <row r="440" spans="1:11" x14ac:dyDescent="0.35">
      <c r="A440">
        <v>439</v>
      </c>
      <c r="B440">
        <v>439</v>
      </c>
      <c r="C440">
        <v>4500</v>
      </c>
      <c r="D440" t="s">
        <v>10</v>
      </c>
      <c r="E440">
        <v>5.2046830260375101</v>
      </c>
      <c r="F440">
        <v>1.40763271239256</v>
      </c>
      <c r="G440">
        <v>-3.5857567371573502E-3</v>
      </c>
      <c r="H440">
        <v>4.2901944984234497E-2</v>
      </c>
      <c r="I440">
        <v>-8.3580283795409299E-2</v>
      </c>
      <c r="J440">
        <v>0.93339386260787205</v>
      </c>
      <c r="K440" s="6">
        <f t="shared" si="6"/>
        <v>0.12019344553865662</v>
      </c>
    </row>
    <row r="441" spans="1:11" x14ac:dyDescent="0.35">
      <c r="A441">
        <v>440</v>
      </c>
      <c r="B441">
        <v>440</v>
      </c>
      <c r="C441">
        <v>5000</v>
      </c>
      <c r="D441" t="s">
        <v>10</v>
      </c>
      <c r="E441">
        <v>5.2037495193862098</v>
      </c>
      <c r="F441">
        <v>1.4185118929323499</v>
      </c>
      <c r="G441">
        <v>-4.9455124031085197E-3</v>
      </c>
      <c r="H441">
        <v>4.0503821389965902E-2</v>
      </c>
      <c r="I441">
        <v>-0.12209989658737901</v>
      </c>
      <c r="J441">
        <v>0.90282481260466396</v>
      </c>
      <c r="K441" s="6">
        <f t="shared" si="6"/>
        <v>0.11347489844880763</v>
      </c>
    </row>
    <row r="442" spans="1:11" x14ac:dyDescent="0.35">
      <c r="A442">
        <v>441</v>
      </c>
      <c r="B442">
        <v>441</v>
      </c>
      <c r="C442">
        <v>5500</v>
      </c>
      <c r="D442" t="s">
        <v>10</v>
      </c>
      <c r="E442">
        <v>5.2013020439817002</v>
      </c>
      <c r="F442">
        <v>1.4604927474131899</v>
      </c>
      <c r="G442">
        <v>1.7188658157245899E-2</v>
      </c>
      <c r="H442">
        <v>3.8616022110599002E-2</v>
      </c>
      <c r="I442">
        <v>0.44511726526404999</v>
      </c>
      <c r="J442">
        <v>0.65625253576349496</v>
      </c>
      <c r="K442" s="6">
        <f t="shared" si="6"/>
        <v>0.10818606830472251</v>
      </c>
    </row>
    <row r="443" spans="1:11" x14ac:dyDescent="0.35">
      <c r="A443">
        <v>442</v>
      </c>
      <c r="B443">
        <v>442</v>
      </c>
      <c r="C443">
        <v>6000</v>
      </c>
      <c r="D443" t="s">
        <v>10</v>
      </c>
      <c r="E443">
        <v>5.2216831454964501</v>
      </c>
      <c r="F443">
        <v>1.47474679282752</v>
      </c>
      <c r="G443">
        <v>-3.9056551997373201E-3</v>
      </c>
      <c r="H443">
        <v>3.6981668565569698E-2</v>
      </c>
      <c r="I443">
        <v>-0.105610572784526</v>
      </c>
      <c r="J443">
        <v>0.91589486736386605</v>
      </c>
      <c r="K443" s="6">
        <f t="shared" si="6"/>
        <v>0.10360728792827159</v>
      </c>
    </row>
    <row r="444" spans="1:11" x14ac:dyDescent="0.35">
      <c r="A444">
        <v>443</v>
      </c>
      <c r="B444">
        <v>443</v>
      </c>
      <c r="C444">
        <v>6500</v>
      </c>
      <c r="D444" t="s">
        <v>10</v>
      </c>
      <c r="E444">
        <v>5.2140539617624597</v>
      </c>
      <c r="F444">
        <v>1.4503333992745899</v>
      </c>
      <c r="G444">
        <v>1.47538615948874E-2</v>
      </c>
      <c r="H444">
        <v>3.555963045215E-2</v>
      </c>
      <c r="I444">
        <v>0.414904806582301</v>
      </c>
      <c r="J444">
        <v>0.67822528847819796</v>
      </c>
      <c r="K444" s="6">
        <f t="shared" si="6"/>
        <v>9.9623327280286667E-2</v>
      </c>
    </row>
    <row r="445" spans="1:11" x14ac:dyDescent="0.35">
      <c r="A445">
        <v>444</v>
      </c>
      <c r="B445">
        <v>444</v>
      </c>
      <c r="C445">
        <v>7000</v>
      </c>
      <c r="D445" t="s">
        <v>10</v>
      </c>
      <c r="E445">
        <v>5.2288412130416804</v>
      </c>
      <c r="F445">
        <v>1.4212848261912101</v>
      </c>
      <c r="G445">
        <v>-1.6342780209737201E-2</v>
      </c>
      <c r="H445">
        <v>3.4251589828989903E-2</v>
      </c>
      <c r="I445">
        <v>-0.47713931795087</v>
      </c>
      <c r="J445">
        <v>0.63327781844085096</v>
      </c>
      <c r="K445" s="6">
        <f t="shared" si="6"/>
        <v>9.5958740291050684E-2</v>
      </c>
    </row>
    <row r="446" spans="1:11" x14ac:dyDescent="0.35">
      <c r="A446">
        <v>445</v>
      </c>
      <c r="B446">
        <v>445</v>
      </c>
      <c r="C446">
        <v>7500</v>
      </c>
      <c r="D446" t="s">
        <v>10</v>
      </c>
      <c r="E446">
        <v>5.2252420097509802</v>
      </c>
      <c r="F446">
        <v>1.41489977925634</v>
      </c>
      <c r="G446">
        <v>-1.27188732753269E-2</v>
      </c>
      <c r="H446">
        <v>3.2988054418850402E-2</v>
      </c>
      <c r="I446">
        <v>-0.38555997009811399</v>
      </c>
      <c r="J446">
        <v>0.69983352208710103</v>
      </c>
      <c r="K446" s="6">
        <f t="shared" si="6"/>
        <v>9.2418838439035006E-2</v>
      </c>
    </row>
    <row r="447" spans="1:11" x14ac:dyDescent="0.35">
      <c r="A447">
        <v>446</v>
      </c>
      <c r="B447">
        <v>446</v>
      </c>
      <c r="C447">
        <v>8000</v>
      </c>
      <c r="D447" t="s">
        <v>10</v>
      </c>
      <c r="E447">
        <v>5.2421987093859004</v>
      </c>
      <c r="F447">
        <v>1.44630562401206</v>
      </c>
      <c r="G447">
        <v>-4.40028951638744E-2</v>
      </c>
      <c r="H447">
        <v>3.1856459600939198E-2</v>
      </c>
      <c r="I447">
        <v>-1.3812864240123299</v>
      </c>
      <c r="J447">
        <v>0.16722949854025199</v>
      </c>
      <c r="K447" s="6">
        <f t="shared" si="6"/>
        <v>8.9248579371097245E-2</v>
      </c>
    </row>
    <row r="448" spans="1:11" x14ac:dyDescent="0.35">
      <c r="A448">
        <v>447</v>
      </c>
      <c r="B448">
        <v>447</v>
      </c>
      <c r="C448">
        <v>8500</v>
      </c>
      <c r="D448" t="s">
        <v>10</v>
      </c>
      <c r="E448">
        <v>5.2166060929389602</v>
      </c>
      <c r="F448">
        <v>1.43827347841862</v>
      </c>
      <c r="G448">
        <v>6.3949557369535701E-3</v>
      </c>
      <c r="H448">
        <v>3.0954781587192601E-2</v>
      </c>
      <c r="I448">
        <v>0.206590239344459</v>
      </c>
      <c r="J448">
        <v>0.83633483306878997</v>
      </c>
      <c r="K448" s="6">
        <f t="shared" si="6"/>
        <v>8.6722451772954984E-2</v>
      </c>
    </row>
    <row r="449" spans="1:11" x14ac:dyDescent="0.35">
      <c r="A449">
        <v>448</v>
      </c>
      <c r="B449">
        <v>448</v>
      </c>
      <c r="C449">
        <v>9000</v>
      </c>
      <c r="D449" t="s">
        <v>10</v>
      </c>
      <c r="E449">
        <v>5.2398827445801199</v>
      </c>
      <c r="F449">
        <v>1.4161313859846201</v>
      </c>
      <c r="G449">
        <v>-4.9450892073884298E-2</v>
      </c>
      <c r="H449">
        <v>3.00926017853562E-2</v>
      </c>
      <c r="I449">
        <v>-1.6432906807662</v>
      </c>
      <c r="J449">
        <v>0.100357744316834</v>
      </c>
      <c r="K449" s="6">
        <f t="shared" si="6"/>
        <v>8.4306981772827153E-2</v>
      </c>
    </row>
    <row r="450" spans="1:11" x14ac:dyDescent="0.35">
      <c r="A450">
        <v>449</v>
      </c>
      <c r="B450">
        <v>449</v>
      </c>
      <c r="C450">
        <v>9500</v>
      </c>
      <c r="D450" t="s">
        <v>10</v>
      </c>
      <c r="E450">
        <v>5.2185705383954897</v>
      </c>
      <c r="F450">
        <v>1.4381455596338999</v>
      </c>
      <c r="G450">
        <v>-2.31662084552679E-2</v>
      </c>
      <c r="H450">
        <v>2.9276187842382301E-2</v>
      </c>
      <c r="I450">
        <v>-0.79129866839188701</v>
      </c>
      <c r="J450">
        <v>0.42878948466422101</v>
      </c>
      <c r="K450" s="6">
        <f t="shared" si="6"/>
        <v>8.2019728716400619E-2</v>
      </c>
    </row>
    <row r="451" spans="1:11" x14ac:dyDescent="0.35">
      <c r="A451">
        <v>450</v>
      </c>
      <c r="B451">
        <v>450</v>
      </c>
      <c r="C451">
        <v>10000</v>
      </c>
      <c r="D451" t="s">
        <v>10</v>
      </c>
      <c r="E451">
        <v>5.2059247874816101</v>
      </c>
      <c r="F451">
        <v>1.4348178826653899</v>
      </c>
      <c r="G451" s="1">
        <v>-5.0890028564191603E-5</v>
      </c>
      <c r="H451">
        <v>2.8524559731400601E-2</v>
      </c>
      <c r="I451">
        <v>-1.7840776174424401E-3</v>
      </c>
      <c r="J451">
        <v>0.99857654836284304</v>
      </c>
      <c r="K451" s="6">
        <f t="shared" ref="K451:K514" si="7">H451*2.801585</f>
        <v>7.9913978675095962E-2</v>
      </c>
    </row>
    <row r="452" spans="1:11" x14ac:dyDescent="0.35">
      <c r="A452">
        <v>451</v>
      </c>
      <c r="B452">
        <v>451</v>
      </c>
      <c r="C452">
        <v>10500</v>
      </c>
      <c r="D452" t="s">
        <v>10</v>
      </c>
      <c r="E452">
        <v>5.2326856876877903</v>
      </c>
      <c r="F452">
        <v>1.3988535338205601</v>
      </c>
      <c r="G452">
        <v>-4.5021156951838198E-2</v>
      </c>
      <c r="H452">
        <v>2.77253608833615E-2</v>
      </c>
      <c r="I452">
        <v>-1.62382582290773</v>
      </c>
      <c r="J452">
        <v>0.10444301011194999</v>
      </c>
      <c r="K452" s="6">
        <f t="shared" si="7"/>
        <v>7.7674955170412327E-2</v>
      </c>
    </row>
    <row r="453" spans="1:11" x14ac:dyDescent="0.35">
      <c r="A453">
        <v>452</v>
      </c>
      <c r="B453">
        <v>452</v>
      </c>
      <c r="C453">
        <v>11000</v>
      </c>
      <c r="D453" t="s">
        <v>10</v>
      </c>
      <c r="E453">
        <v>5.2077840163600602</v>
      </c>
      <c r="F453">
        <v>1.4176008663222699</v>
      </c>
      <c r="G453">
        <v>1.06129315290515E-2</v>
      </c>
      <c r="H453">
        <v>2.7071348571579699E-2</v>
      </c>
      <c r="I453">
        <v>0.39203556856392602</v>
      </c>
      <c r="J453">
        <v>0.69503952948288605</v>
      </c>
      <c r="K453" s="6">
        <f t="shared" si="7"/>
        <v>7.5842684087909118E-2</v>
      </c>
    </row>
    <row r="454" spans="1:11" x14ac:dyDescent="0.35">
      <c r="A454">
        <v>453</v>
      </c>
      <c r="B454">
        <v>453</v>
      </c>
      <c r="C454">
        <v>11500</v>
      </c>
      <c r="D454" t="s">
        <v>10</v>
      </c>
      <c r="E454">
        <v>5.2238454538158496</v>
      </c>
      <c r="F454">
        <v>1.4272450203326099</v>
      </c>
      <c r="G454">
        <v>-1.3726130102614399E-2</v>
      </c>
      <c r="H454">
        <v>2.6446666704234199E-2</v>
      </c>
      <c r="I454">
        <v>-0.51901172484685398</v>
      </c>
      <c r="J454">
        <v>0.60376255404740298</v>
      </c>
      <c r="K454" s="6">
        <f t="shared" si="7"/>
        <v>7.4092584738581976E-2</v>
      </c>
    </row>
    <row r="455" spans="1:11" x14ac:dyDescent="0.35">
      <c r="A455">
        <v>454</v>
      </c>
      <c r="B455">
        <v>454</v>
      </c>
      <c r="C455">
        <v>12000</v>
      </c>
      <c r="D455" t="s">
        <v>10</v>
      </c>
      <c r="E455">
        <v>5.2320076767217101</v>
      </c>
      <c r="F455">
        <v>1.4076037285690799</v>
      </c>
      <c r="G455">
        <v>-2.3948515883321801E-2</v>
      </c>
      <c r="H455">
        <v>2.58678657081205E-2</v>
      </c>
      <c r="I455">
        <v>-0.92580177095182103</v>
      </c>
      <c r="J455">
        <v>0.35456762752055199</v>
      </c>
      <c r="K455" s="6">
        <f t="shared" si="7"/>
        <v>7.2471024549884772E-2</v>
      </c>
    </row>
    <row r="456" spans="1:11" x14ac:dyDescent="0.35">
      <c r="A456">
        <v>455</v>
      </c>
      <c r="B456">
        <v>455</v>
      </c>
      <c r="C456">
        <v>12500</v>
      </c>
      <c r="D456" t="s">
        <v>10</v>
      </c>
      <c r="E456">
        <v>5.2170835610132604</v>
      </c>
      <c r="F456">
        <v>1.40903592762716</v>
      </c>
      <c r="G456">
        <v>6.2258727358169902E-3</v>
      </c>
      <c r="H456">
        <v>2.5343456679443901E-2</v>
      </c>
      <c r="I456">
        <v>0.24565996716883501</v>
      </c>
      <c r="J456">
        <v>0.80594949799292503</v>
      </c>
      <c r="K456" s="6">
        <f t="shared" si="7"/>
        <v>7.100184808127985E-2</v>
      </c>
    </row>
    <row r="457" spans="1:11" x14ac:dyDescent="0.35">
      <c r="A457">
        <v>456</v>
      </c>
      <c r="B457">
        <v>456</v>
      </c>
      <c r="C457">
        <v>13000</v>
      </c>
      <c r="D457" t="s">
        <v>10</v>
      </c>
      <c r="E457">
        <v>5.2041455664973402</v>
      </c>
      <c r="F457">
        <v>1.42729758740616</v>
      </c>
      <c r="G457">
        <v>3.8551361588145101E-2</v>
      </c>
      <c r="H457">
        <v>2.4815310548378398E-2</v>
      </c>
      <c r="I457">
        <v>1.55353129726053</v>
      </c>
      <c r="J457">
        <v>0.120320604733028</v>
      </c>
      <c r="K457" s="6">
        <f t="shared" si="7"/>
        <v>6.9522201802678707E-2</v>
      </c>
    </row>
    <row r="458" spans="1:11" x14ac:dyDescent="0.35">
      <c r="A458">
        <v>457</v>
      </c>
      <c r="B458">
        <v>457</v>
      </c>
      <c r="C458">
        <v>13500</v>
      </c>
      <c r="D458" t="s">
        <v>10</v>
      </c>
      <c r="E458">
        <v>5.2418583823067699</v>
      </c>
      <c r="F458">
        <v>1.39297735330254</v>
      </c>
      <c r="G458">
        <v>-3.8202501508393202E-2</v>
      </c>
      <c r="H458">
        <v>2.4401169925338501E-2</v>
      </c>
      <c r="I458">
        <v>-1.5656012242561901</v>
      </c>
      <c r="J458">
        <v>0.117465445179305</v>
      </c>
      <c r="K458" s="6">
        <f t="shared" si="7"/>
        <v>6.8361951645279473E-2</v>
      </c>
    </row>
    <row r="459" spans="1:11" x14ac:dyDescent="0.35">
      <c r="A459">
        <v>458</v>
      </c>
      <c r="B459">
        <v>458</v>
      </c>
      <c r="C459">
        <v>14000</v>
      </c>
      <c r="D459" t="s">
        <v>10</v>
      </c>
      <c r="E459">
        <v>5.2284005879990003</v>
      </c>
      <c r="F459">
        <v>1.4053725365519201</v>
      </c>
      <c r="G459">
        <v>-7.5245319633533998E-3</v>
      </c>
      <c r="H459">
        <v>2.3940618442244901E-2</v>
      </c>
      <c r="I459">
        <v>-0.31429981566707699</v>
      </c>
      <c r="J459">
        <v>0.75329802219934805</v>
      </c>
      <c r="K459" s="6">
        <f t="shared" si="7"/>
        <v>6.7071677518516684E-2</v>
      </c>
    </row>
    <row r="460" spans="1:11" x14ac:dyDescent="0.35">
      <c r="A460">
        <v>459</v>
      </c>
      <c r="B460">
        <v>459</v>
      </c>
      <c r="C460">
        <v>1000</v>
      </c>
      <c r="D460" t="s">
        <v>10</v>
      </c>
      <c r="E460">
        <v>5.1855171265245401</v>
      </c>
      <c r="F460">
        <v>1.4194097995947601</v>
      </c>
      <c r="G460">
        <v>-3.7700926409078503E-2</v>
      </c>
      <c r="H460">
        <v>9.3524280001820503E-2</v>
      </c>
      <c r="I460">
        <v>-0.40311378401784598</v>
      </c>
      <c r="J460">
        <v>0.68695086268496697</v>
      </c>
      <c r="K460" s="6">
        <f t="shared" si="7"/>
        <v>0.26201621998890029</v>
      </c>
    </row>
    <row r="461" spans="1:11" x14ac:dyDescent="0.35">
      <c r="A461">
        <v>460</v>
      </c>
      <c r="B461">
        <v>460</v>
      </c>
      <c r="C461">
        <v>1500</v>
      </c>
      <c r="D461" t="s">
        <v>10</v>
      </c>
      <c r="E461">
        <v>5.1506144270885299</v>
      </c>
      <c r="F461">
        <v>1.4543653395875999</v>
      </c>
      <c r="G461">
        <v>0.110128892358728</v>
      </c>
      <c r="H461">
        <v>7.4428739051847007E-2</v>
      </c>
      <c r="I461">
        <v>1.4796554900925101</v>
      </c>
      <c r="J461">
        <v>0.139175469636137</v>
      </c>
      <c r="K461" s="6">
        <f t="shared" si="7"/>
        <v>0.20851843889656882</v>
      </c>
    </row>
    <row r="462" spans="1:11" x14ac:dyDescent="0.35">
      <c r="A462">
        <v>461</v>
      </c>
      <c r="B462">
        <v>461</v>
      </c>
      <c r="C462">
        <v>2000</v>
      </c>
      <c r="D462" t="s">
        <v>10</v>
      </c>
      <c r="E462">
        <v>5.1964087028505901</v>
      </c>
      <c r="F462">
        <v>1.4720049929160399</v>
      </c>
      <c r="G462">
        <v>2.89157942666723E-2</v>
      </c>
      <c r="H462">
        <v>6.4534197894685105E-2</v>
      </c>
      <c r="I462">
        <v>0.44806932153802698</v>
      </c>
      <c r="J462">
        <v>0.65415174821710498</v>
      </c>
      <c r="K462" s="6">
        <f t="shared" si="7"/>
        <v>0.1807980408087814</v>
      </c>
    </row>
    <row r="463" spans="1:11" x14ac:dyDescent="0.35">
      <c r="A463">
        <v>462</v>
      </c>
      <c r="B463">
        <v>462</v>
      </c>
      <c r="C463">
        <v>2500</v>
      </c>
      <c r="D463" t="s">
        <v>10</v>
      </c>
      <c r="E463">
        <v>5.2196636753554699</v>
      </c>
      <c r="F463">
        <v>1.41535937981013</v>
      </c>
      <c r="G463">
        <v>-4.13284077994472E-2</v>
      </c>
      <c r="H463">
        <v>5.7885538287536897E-2</v>
      </c>
      <c r="I463">
        <v>-0.71396775467743201</v>
      </c>
      <c r="J463">
        <v>0.475313822056809</v>
      </c>
      <c r="K463" s="6">
        <f t="shared" si="7"/>
        <v>0.16217125578328906</v>
      </c>
    </row>
    <row r="464" spans="1:11" x14ac:dyDescent="0.35">
      <c r="A464">
        <v>463</v>
      </c>
      <c r="B464">
        <v>463</v>
      </c>
      <c r="C464">
        <v>3000</v>
      </c>
      <c r="D464" t="s">
        <v>10</v>
      </c>
      <c r="E464">
        <v>5.2161449159158302</v>
      </c>
      <c r="F464">
        <v>1.4107759297212601</v>
      </c>
      <c r="G464">
        <v>-3.0550107118896001E-2</v>
      </c>
      <c r="H464">
        <v>5.2323906211225499E-2</v>
      </c>
      <c r="I464">
        <v>-0.58386518383334796</v>
      </c>
      <c r="J464">
        <v>0.55935494338442604</v>
      </c>
      <c r="K464" s="6">
        <f t="shared" si="7"/>
        <v>0.14658987078277619</v>
      </c>
    </row>
    <row r="465" spans="1:11" x14ac:dyDescent="0.35">
      <c r="A465">
        <v>464</v>
      </c>
      <c r="B465">
        <v>464</v>
      </c>
      <c r="C465">
        <v>3500</v>
      </c>
      <c r="D465" t="s">
        <v>10</v>
      </c>
      <c r="E465">
        <v>5.2150298153738799</v>
      </c>
      <c r="F465">
        <v>1.44178602708703</v>
      </c>
      <c r="G465">
        <v>-2.6116727137036399E-2</v>
      </c>
      <c r="H465">
        <v>4.8955994952096703E-2</v>
      </c>
      <c r="I465">
        <v>-0.53347352377561896</v>
      </c>
      <c r="J465">
        <v>0.593739727749383</v>
      </c>
      <c r="K465" s="6">
        <f t="shared" si="7"/>
        <v>0.13715438111786984</v>
      </c>
    </row>
    <row r="466" spans="1:11" x14ac:dyDescent="0.35">
      <c r="A466">
        <v>465</v>
      </c>
      <c r="B466">
        <v>465</v>
      </c>
      <c r="C466">
        <v>4000</v>
      </c>
      <c r="D466" t="s">
        <v>10</v>
      </c>
      <c r="E466">
        <v>5.2077718130761799</v>
      </c>
      <c r="F466">
        <v>1.4526782326785499</v>
      </c>
      <c r="G466">
        <v>-3.9377950470007497E-3</v>
      </c>
      <c r="H466">
        <v>4.5739398047453299E-2</v>
      </c>
      <c r="I466">
        <v>-8.6091973552328005E-2</v>
      </c>
      <c r="J466">
        <v>0.93139761517116804</v>
      </c>
      <c r="K466" s="6">
        <f t="shared" si="7"/>
        <v>0.12814281147877446</v>
      </c>
    </row>
    <row r="467" spans="1:11" x14ac:dyDescent="0.35">
      <c r="A467">
        <v>466</v>
      </c>
      <c r="B467">
        <v>466</v>
      </c>
      <c r="C467">
        <v>4500</v>
      </c>
      <c r="D467" t="s">
        <v>10</v>
      </c>
      <c r="E467">
        <v>5.2373992780273699</v>
      </c>
      <c r="F467">
        <v>1.4048158191128199</v>
      </c>
      <c r="G467">
        <v>-7.0464274757870704E-2</v>
      </c>
      <c r="H467">
        <v>4.29740777816583E-2</v>
      </c>
      <c r="I467">
        <v>-1.63969254013743</v>
      </c>
      <c r="J467">
        <v>0.101139039232495</v>
      </c>
      <c r="K467" s="6">
        <f t="shared" si="7"/>
        <v>0.12039553170192718</v>
      </c>
    </row>
    <row r="468" spans="1:11" x14ac:dyDescent="0.35">
      <c r="A468">
        <v>467</v>
      </c>
      <c r="B468">
        <v>467</v>
      </c>
      <c r="C468">
        <v>5000</v>
      </c>
      <c r="D468" t="s">
        <v>10</v>
      </c>
      <c r="E468">
        <v>5.2143986827398496</v>
      </c>
      <c r="F468">
        <v>1.4191665434294101</v>
      </c>
      <c r="G468">
        <v>-2.59238192602506E-2</v>
      </c>
      <c r="H468">
        <v>4.04918967366793E-2</v>
      </c>
      <c r="I468">
        <v>-0.64022239878843901</v>
      </c>
      <c r="J468">
        <v>0.52205737070010105</v>
      </c>
      <c r="K468" s="6">
        <f t="shared" si="7"/>
        <v>0.11344149051902969</v>
      </c>
    </row>
    <row r="469" spans="1:11" x14ac:dyDescent="0.35">
      <c r="A469">
        <v>468</v>
      </c>
      <c r="B469">
        <v>468</v>
      </c>
      <c r="C469">
        <v>5500</v>
      </c>
      <c r="D469" t="s">
        <v>10</v>
      </c>
      <c r="E469">
        <v>5.22319606996997</v>
      </c>
      <c r="F469">
        <v>1.4393799794401401</v>
      </c>
      <c r="G469">
        <v>-2.7532023080707801E-2</v>
      </c>
      <c r="H469">
        <v>3.85999703708685E-2</v>
      </c>
      <c r="I469">
        <v>-0.71326539414875301</v>
      </c>
      <c r="J469">
        <v>0.47571182016859098</v>
      </c>
      <c r="K469" s="6">
        <f t="shared" si="7"/>
        <v>0.10814109799146963</v>
      </c>
    </row>
    <row r="470" spans="1:11" x14ac:dyDescent="0.35">
      <c r="A470">
        <v>469</v>
      </c>
      <c r="B470">
        <v>469</v>
      </c>
      <c r="C470">
        <v>6000</v>
      </c>
      <c r="D470" t="s">
        <v>10</v>
      </c>
      <c r="E470">
        <v>5.2174436042130301</v>
      </c>
      <c r="F470">
        <v>1.43579372002743</v>
      </c>
      <c r="G470">
        <v>4.5785034729275403E-3</v>
      </c>
      <c r="H470">
        <v>3.7000502512102899E-2</v>
      </c>
      <c r="I470">
        <v>0.123741656520203</v>
      </c>
      <c r="J470">
        <v>0.90152397421823105</v>
      </c>
      <c r="K470" s="6">
        <f t="shared" si="7"/>
        <v>0.1036600528303698</v>
      </c>
    </row>
    <row r="471" spans="1:11" x14ac:dyDescent="0.35">
      <c r="A471">
        <v>470</v>
      </c>
      <c r="B471">
        <v>470</v>
      </c>
      <c r="C471">
        <v>6500</v>
      </c>
      <c r="D471" t="s">
        <v>10</v>
      </c>
      <c r="E471">
        <v>5.2229315102636003</v>
      </c>
      <c r="F471">
        <v>1.4359772523018399</v>
      </c>
      <c r="G471">
        <v>-2.9393307078810398E-3</v>
      </c>
      <c r="H471">
        <v>3.5554621049873898E-2</v>
      </c>
      <c r="I471">
        <v>-8.2670848994787993E-2</v>
      </c>
      <c r="J471">
        <v>0.93411581098832996</v>
      </c>
      <c r="K471" s="6">
        <f t="shared" si="7"/>
        <v>9.9609293014010974E-2</v>
      </c>
    </row>
    <row r="472" spans="1:11" x14ac:dyDescent="0.35">
      <c r="A472">
        <v>471</v>
      </c>
      <c r="B472">
        <v>471</v>
      </c>
      <c r="C472">
        <v>7000</v>
      </c>
      <c r="D472" t="s">
        <v>10</v>
      </c>
      <c r="E472">
        <v>5.2165679987928097</v>
      </c>
      <c r="F472">
        <v>1.4171388534404801</v>
      </c>
      <c r="G472">
        <v>7.8875741050994201E-3</v>
      </c>
      <c r="H472">
        <v>3.4258290731739402E-2</v>
      </c>
      <c r="I472">
        <v>0.23023840175983401</v>
      </c>
      <c r="J472">
        <v>0.81791325272420201</v>
      </c>
      <c r="K472" s="6">
        <f t="shared" si="7"/>
        <v>9.597751343968014E-2</v>
      </c>
    </row>
    <row r="473" spans="1:11" x14ac:dyDescent="0.35">
      <c r="A473">
        <v>472</v>
      </c>
      <c r="B473">
        <v>472</v>
      </c>
      <c r="C473">
        <v>7500</v>
      </c>
      <c r="D473" t="s">
        <v>10</v>
      </c>
      <c r="E473">
        <v>5.2029008055107804</v>
      </c>
      <c r="F473">
        <v>1.43464653683347</v>
      </c>
      <c r="G473">
        <v>3.1807418764690898E-2</v>
      </c>
      <c r="H473">
        <v>3.2981558135122602E-2</v>
      </c>
      <c r="I473">
        <v>0.96440012428698996</v>
      </c>
      <c r="J473">
        <v>0.334876461975531</v>
      </c>
      <c r="K473" s="6">
        <f t="shared" si="7"/>
        <v>9.2400638547987454E-2</v>
      </c>
    </row>
    <row r="474" spans="1:11" x14ac:dyDescent="0.35">
      <c r="A474">
        <v>473</v>
      </c>
      <c r="B474">
        <v>473</v>
      </c>
      <c r="C474">
        <v>8000</v>
      </c>
      <c r="D474" t="s">
        <v>10</v>
      </c>
      <c r="E474">
        <v>5.20731105085554</v>
      </c>
      <c r="F474">
        <v>1.4439157116257699</v>
      </c>
      <c r="G474">
        <v>2.6856863496418599E-2</v>
      </c>
      <c r="H474">
        <v>3.1852873681181497E-2</v>
      </c>
      <c r="I474">
        <v>0.84315354919721197</v>
      </c>
      <c r="J474">
        <v>0.39916778767021899</v>
      </c>
      <c r="K474" s="6">
        <f t="shared" si="7"/>
        <v>8.9238533112092872E-2</v>
      </c>
    </row>
    <row r="475" spans="1:11" x14ac:dyDescent="0.35">
      <c r="A475">
        <v>474</v>
      </c>
      <c r="B475">
        <v>474</v>
      </c>
      <c r="C475">
        <v>8500</v>
      </c>
      <c r="D475" t="s">
        <v>10</v>
      </c>
      <c r="E475">
        <v>5.1970260647635902</v>
      </c>
      <c r="F475">
        <v>1.4432381362770701</v>
      </c>
      <c r="G475">
        <v>4.60245484180027E-2</v>
      </c>
      <c r="H475">
        <v>3.0948204869439999E-2</v>
      </c>
      <c r="I475">
        <v>1.4871475942519099</v>
      </c>
      <c r="J475">
        <v>0.13701293450704599</v>
      </c>
      <c r="K475" s="6">
        <f t="shared" si="7"/>
        <v>8.6704026539150061E-2</v>
      </c>
    </row>
    <row r="476" spans="1:11" x14ac:dyDescent="0.35">
      <c r="A476">
        <v>475</v>
      </c>
      <c r="B476">
        <v>475</v>
      </c>
      <c r="C476">
        <v>9000</v>
      </c>
      <c r="D476" t="s">
        <v>10</v>
      </c>
      <c r="E476">
        <v>5.2089274247216402</v>
      </c>
      <c r="F476">
        <v>1.4435262246269001</v>
      </c>
      <c r="G476">
        <v>1.2013352013900601E-2</v>
      </c>
      <c r="H476">
        <v>3.0092751232132502E-2</v>
      </c>
      <c r="I476">
        <v>0.39921082393666202</v>
      </c>
      <c r="J476">
        <v>0.68974734267812099</v>
      </c>
      <c r="K476" s="6">
        <f t="shared" si="7"/>
        <v>8.4307400460673934E-2</v>
      </c>
    </row>
    <row r="477" spans="1:11" x14ac:dyDescent="0.35">
      <c r="A477">
        <v>476</v>
      </c>
      <c r="B477">
        <v>476</v>
      </c>
      <c r="C477">
        <v>9500</v>
      </c>
      <c r="D477" t="s">
        <v>10</v>
      </c>
      <c r="E477">
        <v>5.2055031510668197</v>
      </c>
      <c r="F477">
        <v>1.4417482451039101</v>
      </c>
      <c r="G477">
        <v>2.6824611999382501E-3</v>
      </c>
      <c r="H477">
        <v>2.92607901605327E-2</v>
      </c>
      <c r="I477">
        <v>9.1674257093589395E-2</v>
      </c>
      <c r="J477">
        <v>0.92695878440736401</v>
      </c>
      <c r="K477" s="6">
        <f t="shared" si="7"/>
        <v>8.197659080189601E-2</v>
      </c>
    </row>
    <row r="478" spans="1:11" x14ac:dyDescent="0.35">
      <c r="A478">
        <v>477</v>
      </c>
      <c r="B478">
        <v>477</v>
      </c>
      <c r="C478">
        <v>10000</v>
      </c>
      <c r="D478" t="s">
        <v>10</v>
      </c>
      <c r="E478">
        <v>5.1985717275102097</v>
      </c>
      <c r="F478">
        <v>1.4486783656469699</v>
      </c>
      <c r="G478">
        <v>1.47970166458842E-2</v>
      </c>
      <c r="H478">
        <v>2.8514383773891702E-2</v>
      </c>
      <c r="I478">
        <v>0.51893166491756904</v>
      </c>
      <c r="J478">
        <v>0.60381988102386397</v>
      </c>
      <c r="K478" s="6">
        <f t="shared" si="7"/>
        <v>7.9885469865178388E-2</v>
      </c>
    </row>
    <row r="479" spans="1:11" x14ac:dyDescent="0.35">
      <c r="A479">
        <v>478</v>
      </c>
      <c r="B479">
        <v>478</v>
      </c>
      <c r="C479">
        <v>10500</v>
      </c>
      <c r="D479" t="s">
        <v>10</v>
      </c>
      <c r="E479">
        <v>5.2134351597765898</v>
      </c>
      <c r="F479">
        <v>1.41979962518731</v>
      </c>
      <c r="G479">
        <v>-6.9390715039361599E-3</v>
      </c>
      <c r="H479">
        <v>2.7735722132488001E-2</v>
      </c>
      <c r="I479">
        <v>-0.250185355578254</v>
      </c>
      <c r="J479">
        <v>0.80244890536050195</v>
      </c>
      <c r="K479" s="6">
        <f t="shared" si="7"/>
        <v>7.7703983090546408E-2</v>
      </c>
    </row>
    <row r="480" spans="1:11" x14ac:dyDescent="0.35">
      <c r="A480">
        <v>479</v>
      </c>
      <c r="B480">
        <v>479</v>
      </c>
      <c r="C480">
        <v>11000</v>
      </c>
      <c r="D480" t="s">
        <v>10</v>
      </c>
      <c r="E480">
        <v>5.2137044088185904</v>
      </c>
      <c r="F480">
        <v>1.41914522737284</v>
      </c>
      <c r="G480">
        <v>-1.1307875342779199E-3</v>
      </c>
      <c r="H480">
        <v>2.7071510787557599E-2</v>
      </c>
      <c r="I480">
        <v>-4.1770388921095802E-2</v>
      </c>
      <c r="J480">
        <v>0.96668249886291402</v>
      </c>
      <c r="K480" s="6">
        <f t="shared" si="7"/>
        <v>7.5843138549759562E-2</v>
      </c>
    </row>
    <row r="481" spans="1:11" x14ac:dyDescent="0.35">
      <c r="A481">
        <v>480</v>
      </c>
      <c r="B481">
        <v>480</v>
      </c>
      <c r="C481">
        <v>11500</v>
      </c>
      <c r="D481" t="s">
        <v>10</v>
      </c>
      <c r="E481">
        <v>5.2060630177927596</v>
      </c>
      <c r="F481">
        <v>1.41658489533105</v>
      </c>
      <c r="G481">
        <v>2.1785239007318099E-2</v>
      </c>
      <c r="H481">
        <v>2.6444509019956802E-2</v>
      </c>
      <c r="I481">
        <v>0.82380954741407697</v>
      </c>
      <c r="J481">
        <v>0.41006486904724099</v>
      </c>
      <c r="K481" s="6">
        <f t="shared" si="7"/>
        <v>7.4086539802675683E-2</v>
      </c>
    </row>
    <row r="482" spans="1:11" x14ac:dyDescent="0.35">
      <c r="A482">
        <v>481</v>
      </c>
      <c r="B482">
        <v>481</v>
      </c>
      <c r="C482">
        <v>12000</v>
      </c>
      <c r="D482" t="s">
        <v>10</v>
      </c>
      <c r="E482">
        <v>5.2144990274011498</v>
      </c>
      <c r="F482">
        <v>1.4042797873225299</v>
      </c>
      <c r="G482">
        <v>1.12794703253556E-2</v>
      </c>
      <c r="H482">
        <v>2.5856339828167801E-2</v>
      </c>
      <c r="I482">
        <v>0.43623615717905301</v>
      </c>
      <c r="J482">
        <v>0.66267324608482703</v>
      </c>
      <c r="K482" s="6">
        <f t="shared" si="7"/>
        <v>7.2438733817497492E-2</v>
      </c>
    </row>
    <row r="483" spans="1:11" x14ac:dyDescent="0.35">
      <c r="A483">
        <v>482</v>
      </c>
      <c r="B483">
        <v>482</v>
      </c>
      <c r="C483">
        <v>12500</v>
      </c>
      <c r="D483" t="s">
        <v>10</v>
      </c>
      <c r="E483">
        <v>5.2272988166714196</v>
      </c>
      <c r="F483">
        <v>1.4129489656091501</v>
      </c>
      <c r="G483">
        <v>-1.42589131689586E-2</v>
      </c>
      <c r="H483">
        <v>2.5335755581414699E-2</v>
      </c>
      <c r="I483">
        <v>-0.56279802365232601</v>
      </c>
      <c r="J483">
        <v>0.57358252127796605</v>
      </c>
      <c r="K483" s="6">
        <f t="shared" si="7"/>
        <v>7.09802728005577E-2</v>
      </c>
    </row>
    <row r="484" spans="1:11" x14ac:dyDescent="0.35">
      <c r="A484">
        <v>483</v>
      </c>
      <c r="B484">
        <v>483</v>
      </c>
      <c r="C484">
        <v>13000</v>
      </c>
      <c r="D484" t="s">
        <v>10</v>
      </c>
      <c r="E484">
        <v>5.2149461287444199</v>
      </c>
      <c r="F484">
        <v>1.4371358495226301</v>
      </c>
      <c r="G484">
        <v>1.7234995796337801E-2</v>
      </c>
      <c r="H484">
        <v>2.4809902826415001E-2</v>
      </c>
      <c r="I484">
        <v>0.69468211612613495</v>
      </c>
      <c r="J484">
        <v>0.48726695492723798</v>
      </c>
      <c r="K484" s="6">
        <f t="shared" si="7"/>
        <v>6.9507051609941875E-2</v>
      </c>
    </row>
    <row r="485" spans="1:11" x14ac:dyDescent="0.35">
      <c r="A485">
        <v>484</v>
      </c>
      <c r="B485">
        <v>484</v>
      </c>
      <c r="C485">
        <v>13500</v>
      </c>
      <c r="D485" t="s">
        <v>10</v>
      </c>
      <c r="E485">
        <v>5.2298409488587403</v>
      </c>
      <c r="F485">
        <v>1.4164033555417199</v>
      </c>
      <c r="G485">
        <v>-1.33194257061547E-2</v>
      </c>
      <c r="H485">
        <v>2.43762137122902E-2</v>
      </c>
      <c r="I485">
        <v>-0.54641077007948902</v>
      </c>
      <c r="J485">
        <v>0.58479263988799501</v>
      </c>
      <c r="K485" s="6">
        <f t="shared" si="7"/>
        <v>6.8292034693146542E-2</v>
      </c>
    </row>
    <row r="486" spans="1:11" x14ac:dyDescent="0.35">
      <c r="A486">
        <v>485</v>
      </c>
      <c r="B486">
        <v>485</v>
      </c>
      <c r="C486">
        <v>14000</v>
      </c>
      <c r="D486" t="s">
        <v>10</v>
      </c>
      <c r="E486">
        <v>5.2064490347011096</v>
      </c>
      <c r="F486">
        <v>1.4256217785668399</v>
      </c>
      <c r="G486">
        <v>3.6351367569501303E-2</v>
      </c>
      <c r="H486">
        <v>2.39378905612842E-2</v>
      </c>
      <c r="I486">
        <v>1.5185702130451699</v>
      </c>
      <c r="J486">
        <v>0.128893297532646</v>
      </c>
      <c r="K486" s="6">
        <f t="shared" si="7"/>
        <v>6.7064035128135399E-2</v>
      </c>
    </row>
    <row r="487" spans="1:11" x14ac:dyDescent="0.35">
      <c r="A487">
        <v>486</v>
      </c>
      <c r="B487">
        <v>486</v>
      </c>
      <c r="C487">
        <v>1000</v>
      </c>
      <c r="D487" t="s">
        <v>10</v>
      </c>
      <c r="E487">
        <v>5.0291318656473498</v>
      </c>
      <c r="F487">
        <v>1.5479274064475901</v>
      </c>
      <c r="G487">
        <v>0.278439941557374</v>
      </c>
      <c r="H487">
        <v>9.3077298271455902E-2</v>
      </c>
      <c r="I487">
        <v>2.9914914455866102</v>
      </c>
      <c r="J487">
        <v>2.8444110381175402E-3</v>
      </c>
      <c r="K487" s="6">
        <f t="shared" si="7"/>
        <v>0.2607639626778368</v>
      </c>
    </row>
    <row r="488" spans="1:11" x14ac:dyDescent="0.35">
      <c r="A488">
        <v>487</v>
      </c>
      <c r="B488">
        <v>487</v>
      </c>
      <c r="C488">
        <v>1500</v>
      </c>
      <c r="D488" t="s">
        <v>10</v>
      </c>
      <c r="E488">
        <v>5.1691945516261999</v>
      </c>
      <c r="F488">
        <v>1.44446460999112</v>
      </c>
      <c r="G488">
        <v>7.1469054742664795E-2</v>
      </c>
      <c r="H488">
        <v>7.4478003665406203E-2</v>
      </c>
      <c r="I488">
        <v>0.959599495493204</v>
      </c>
      <c r="J488">
        <v>0.337411676588662</v>
      </c>
      <c r="K488" s="6">
        <f t="shared" si="7"/>
        <v>0.20865645789894705</v>
      </c>
    </row>
    <row r="489" spans="1:11" x14ac:dyDescent="0.35">
      <c r="A489">
        <v>488</v>
      </c>
      <c r="B489">
        <v>488</v>
      </c>
      <c r="C489">
        <v>2000</v>
      </c>
      <c r="D489" t="s">
        <v>10</v>
      </c>
      <c r="E489">
        <v>5.1970910239398904</v>
      </c>
      <c r="F489">
        <v>1.4714633553413199</v>
      </c>
      <c r="G489">
        <v>2.7785868220333802E-2</v>
      </c>
      <c r="H489">
        <v>6.4508931575944395E-2</v>
      </c>
      <c r="I489">
        <v>0.43072900979025502</v>
      </c>
      <c r="J489">
        <v>0.66671188307774198</v>
      </c>
      <c r="K489" s="6">
        <f t="shared" si="7"/>
        <v>0.18072725506919218</v>
      </c>
    </row>
    <row r="490" spans="1:11" x14ac:dyDescent="0.35">
      <c r="A490">
        <v>489</v>
      </c>
      <c r="B490">
        <v>489</v>
      </c>
      <c r="C490">
        <v>2500</v>
      </c>
      <c r="D490" t="s">
        <v>10</v>
      </c>
      <c r="E490">
        <v>5.2320868135654903</v>
      </c>
      <c r="F490">
        <v>1.4508020334123399</v>
      </c>
      <c r="G490">
        <v>-6.6287616413286302E-2</v>
      </c>
      <c r="H490">
        <v>5.7869261300064402E-2</v>
      </c>
      <c r="I490">
        <v>-1.1454719642880999</v>
      </c>
      <c r="J490">
        <v>0.25212342946980298</v>
      </c>
      <c r="K490" s="6">
        <f t="shared" si="7"/>
        <v>0.16212565441934093</v>
      </c>
    </row>
    <row r="491" spans="1:11" x14ac:dyDescent="0.35">
      <c r="A491">
        <v>490</v>
      </c>
      <c r="B491">
        <v>490</v>
      </c>
      <c r="C491">
        <v>3000</v>
      </c>
      <c r="D491" t="s">
        <v>10</v>
      </c>
      <c r="E491">
        <v>5.2067104342872002</v>
      </c>
      <c r="F491">
        <v>1.3639423205552801</v>
      </c>
      <c r="G491">
        <v>-1.26291607061505E-2</v>
      </c>
      <c r="H491">
        <v>5.2387874526423503E-2</v>
      </c>
      <c r="I491">
        <v>-0.241070301483228</v>
      </c>
      <c r="J491">
        <v>0.80951711495526901</v>
      </c>
      <c r="K491" s="6">
        <f t="shared" si="7"/>
        <v>0.14676908345511019</v>
      </c>
    </row>
    <row r="492" spans="1:11" x14ac:dyDescent="0.35">
      <c r="A492">
        <v>491</v>
      </c>
      <c r="B492">
        <v>491</v>
      </c>
      <c r="C492">
        <v>3500</v>
      </c>
      <c r="D492" t="s">
        <v>10</v>
      </c>
      <c r="E492">
        <v>5.2214622462143598</v>
      </c>
      <c r="F492">
        <v>1.4226509124789899</v>
      </c>
      <c r="G492">
        <v>-3.8173390914669897E-2</v>
      </c>
      <c r="H492">
        <v>4.8923994053926702E-2</v>
      </c>
      <c r="I492">
        <v>-0.78025908662716803</v>
      </c>
      <c r="J492">
        <v>0.43529118261009703</v>
      </c>
      <c r="K492" s="6">
        <f t="shared" si="7"/>
        <v>0.13706472788157026</v>
      </c>
    </row>
    <row r="493" spans="1:11" x14ac:dyDescent="0.35">
      <c r="A493">
        <v>492</v>
      </c>
      <c r="B493">
        <v>492</v>
      </c>
      <c r="C493">
        <v>4000</v>
      </c>
      <c r="D493" t="s">
        <v>10</v>
      </c>
      <c r="E493">
        <v>5.1887168847160403</v>
      </c>
      <c r="F493">
        <v>1.4761859387462599</v>
      </c>
      <c r="G493">
        <v>3.3687530279292201E-2</v>
      </c>
      <c r="H493">
        <v>4.5769170375823398E-2</v>
      </c>
      <c r="I493">
        <v>0.73603104453662804</v>
      </c>
      <c r="J493">
        <v>0.461754985482494</v>
      </c>
      <c r="K493" s="6">
        <f t="shared" si="7"/>
        <v>0.12822622118735119</v>
      </c>
    </row>
    <row r="494" spans="1:11" x14ac:dyDescent="0.35">
      <c r="A494">
        <v>493</v>
      </c>
      <c r="B494">
        <v>493</v>
      </c>
      <c r="C494">
        <v>4500</v>
      </c>
      <c r="D494" t="s">
        <v>10</v>
      </c>
      <c r="E494">
        <v>5.1981316233597399</v>
      </c>
      <c r="F494">
        <v>1.45073115038584</v>
      </c>
      <c r="G494">
        <v>9.4282711334550493E-3</v>
      </c>
      <c r="H494">
        <v>4.2937854223182102E-2</v>
      </c>
      <c r="I494">
        <v>0.219579466743933</v>
      </c>
      <c r="J494">
        <v>0.82620864800240601</v>
      </c>
      <c r="K494" s="6">
        <f t="shared" si="7"/>
        <v>0.12029404832385364</v>
      </c>
    </row>
    <row r="495" spans="1:11" x14ac:dyDescent="0.35">
      <c r="A495">
        <v>494</v>
      </c>
      <c r="B495">
        <v>494</v>
      </c>
      <c r="C495">
        <v>5000</v>
      </c>
      <c r="D495" t="s">
        <v>10</v>
      </c>
      <c r="E495">
        <v>5.2030539682768397</v>
      </c>
      <c r="F495">
        <v>1.4526294877169701</v>
      </c>
      <c r="G495">
        <v>-3.51910653947672E-3</v>
      </c>
      <c r="H495">
        <v>4.0500656049040497E-2</v>
      </c>
      <c r="I495">
        <v>-8.68901119827684E-2</v>
      </c>
      <c r="J495">
        <v>0.930762340018501</v>
      </c>
      <c r="K495" s="6">
        <f t="shared" si="7"/>
        <v>0.11346603047715113</v>
      </c>
    </row>
    <row r="496" spans="1:11" x14ac:dyDescent="0.35">
      <c r="A496">
        <v>495</v>
      </c>
      <c r="B496">
        <v>495</v>
      </c>
      <c r="C496">
        <v>5500</v>
      </c>
      <c r="D496" t="s">
        <v>10</v>
      </c>
      <c r="E496">
        <v>5.2244484018559803</v>
      </c>
      <c r="F496">
        <v>1.41874670812109</v>
      </c>
      <c r="G496">
        <v>-2.8877292816944199E-2</v>
      </c>
      <c r="H496">
        <v>3.8585862835353799E-2</v>
      </c>
      <c r="I496">
        <v>-0.74839049058365803</v>
      </c>
      <c r="J496">
        <v>0.45425666890285998</v>
      </c>
      <c r="K496" s="6">
        <f t="shared" si="7"/>
        <v>0.10810157453158468</v>
      </c>
    </row>
    <row r="497" spans="1:11" x14ac:dyDescent="0.35">
      <c r="A497">
        <v>496</v>
      </c>
      <c r="B497">
        <v>496</v>
      </c>
      <c r="C497">
        <v>6000</v>
      </c>
      <c r="D497" t="s">
        <v>10</v>
      </c>
      <c r="E497">
        <v>5.2483013686001998</v>
      </c>
      <c r="F497">
        <v>1.4104948238822399</v>
      </c>
      <c r="G497">
        <v>-5.8018510952152297E-2</v>
      </c>
      <c r="H497">
        <v>3.70137910809442E-2</v>
      </c>
      <c r="I497">
        <v>-1.5674836123993201</v>
      </c>
      <c r="J497">
        <v>0.117054445070844</v>
      </c>
      <c r="K497" s="6">
        <f t="shared" si="7"/>
        <v>0.10369728188550706</v>
      </c>
    </row>
    <row r="498" spans="1:11" x14ac:dyDescent="0.35">
      <c r="A498">
        <v>497</v>
      </c>
      <c r="B498">
        <v>497</v>
      </c>
      <c r="C498">
        <v>6500</v>
      </c>
      <c r="D498" t="s">
        <v>10</v>
      </c>
      <c r="E498">
        <v>5.2099579168505503</v>
      </c>
      <c r="F498">
        <v>1.4437852190500799</v>
      </c>
      <c r="G498">
        <v>2.29444658277221E-2</v>
      </c>
      <c r="H498">
        <v>3.5554836755125198E-2</v>
      </c>
      <c r="I498">
        <v>0.64532614748722505</v>
      </c>
      <c r="J498">
        <v>0.51873863593485503</v>
      </c>
      <c r="K498" s="6">
        <f t="shared" si="7"/>
        <v>9.9609897330607433E-2</v>
      </c>
    </row>
    <row r="499" spans="1:11" x14ac:dyDescent="0.35">
      <c r="A499">
        <v>498</v>
      </c>
      <c r="B499">
        <v>498</v>
      </c>
      <c r="C499">
        <v>7000</v>
      </c>
      <c r="D499" t="s">
        <v>10</v>
      </c>
      <c r="E499">
        <v>5.2217528928772197</v>
      </c>
      <c r="F499">
        <v>1.432682343877</v>
      </c>
      <c r="G499">
        <v>-2.4786758582299598E-3</v>
      </c>
      <c r="H499">
        <v>3.4258050470273402E-2</v>
      </c>
      <c r="I499">
        <v>-7.2353091439945505E-2</v>
      </c>
      <c r="J499">
        <v>0.94232298220465704</v>
      </c>
      <c r="K499" s="6">
        <f t="shared" si="7"/>
        <v>9.5976840326760918E-2</v>
      </c>
    </row>
    <row r="500" spans="1:11" x14ac:dyDescent="0.35">
      <c r="A500">
        <v>499</v>
      </c>
      <c r="B500">
        <v>499</v>
      </c>
      <c r="C500">
        <v>7500</v>
      </c>
      <c r="D500" t="s">
        <v>10</v>
      </c>
      <c r="E500">
        <v>5.2356719102819298</v>
      </c>
      <c r="F500">
        <v>1.4225434285495</v>
      </c>
      <c r="G500">
        <v>-3.3554710476561299E-2</v>
      </c>
      <c r="H500">
        <v>3.2977900654854203E-2</v>
      </c>
      <c r="I500">
        <v>-1.01749079869407</v>
      </c>
      <c r="J500">
        <v>0.30895283692888698</v>
      </c>
      <c r="K500" s="6">
        <f t="shared" si="7"/>
        <v>9.2390391806129721E-2</v>
      </c>
    </row>
    <row r="501" spans="1:11" x14ac:dyDescent="0.35">
      <c r="A501">
        <v>500</v>
      </c>
      <c r="B501">
        <v>500</v>
      </c>
      <c r="C501">
        <v>8000</v>
      </c>
      <c r="D501" t="s">
        <v>10</v>
      </c>
      <c r="E501">
        <v>5.2366668710286497</v>
      </c>
      <c r="F501">
        <v>1.4051232699124201</v>
      </c>
      <c r="G501">
        <v>-3.2122301781807597E-2</v>
      </c>
      <c r="H501">
        <v>3.1854940595010102E-2</v>
      </c>
      <c r="I501">
        <v>-1.0083930838294899</v>
      </c>
      <c r="J501">
        <v>0.31329629765491901</v>
      </c>
      <c r="K501" s="6">
        <f t="shared" si="7"/>
        <v>8.9244323746871385E-2</v>
      </c>
    </row>
    <row r="502" spans="1:11" x14ac:dyDescent="0.35">
      <c r="A502">
        <v>501</v>
      </c>
      <c r="B502">
        <v>501</v>
      </c>
      <c r="C502">
        <v>8500</v>
      </c>
      <c r="D502" t="s">
        <v>10</v>
      </c>
      <c r="E502">
        <v>5.2300332989680403</v>
      </c>
      <c r="F502">
        <v>1.4469118242687</v>
      </c>
      <c r="G502">
        <v>-2.09112363905751E-2</v>
      </c>
      <c r="H502">
        <v>3.09470232485736E-2</v>
      </c>
      <c r="I502">
        <v>-0.67571075326409302</v>
      </c>
      <c r="J502">
        <v>0.49924269403432497</v>
      </c>
      <c r="K502" s="6">
        <f t="shared" si="7"/>
        <v>8.6700716127855071E-2</v>
      </c>
    </row>
    <row r="503" spans="1:11" x14ac:dyDescent="0.35">
      <c r="A503">
        <v>502</v>
      </c>
      <c r="B503">
        <v>502</v>
      </c>
      <c r="C503">
        <v>9000</v>
      </c>
      <c r="D503" t="s">
        <v>10</v>
      </c>
      <c r="E503">
        <v>5.1868357633347699</v>
      </c>
      <c r="F503">
        <v>1.44106640546551</v>
      </c>
      <c r="G503">
        <v>5.6501651686580598E-2</v>
      </c>
      <c r="H503">
        <v>3.0090586662853601E-2</v>
      </c>
      <c r="I503">
        <v>1.87771851441936</v>
      </c>
      <c r="J503">
        <v>6.04520009434516E-2</v>
      </c>
      <c r="K503" s="6">
        <f t="shared" si="7"/>
        <v>8.4301336235850718E-2</v>
      </c>
    </row>
    <row r="504" spans="1:11" x14ac:dyDescent="0.35">
      <c r="A504">
        <v>503</v>
      </c>
      <c r="B504">
        <v>503</v>
      </c>
      <c r="C504">
        <v>9500</v>
      </c>
      <c r="D504" t="s">
        <v>10</v>
      </c>
      <c r="E504">
        <v>5.2154102968752998</v>
      </c>
      <c r="F504">
        <v>1.43112241776493</v>
      </c>
      <c r="G504">
        <v>-1.73736595712836E-2</v>
      </c>
      <c r="H504">
        <v>2.9266360964954101E-2</v>
      </c>
      <c r="I504">
        <v>-0.59363921575655698</v>
      </c>
      <c r="J504">
        <v>0.55276758264969805</v>
      </c>
      <c r="K504" s="6">
        <f t="shared" si="7"/>
        <v>8.1992197884000945E-2</v>
      </c>
    </row>
    <row r="505" spans="1:11" x14ac:dyDescent="0.35">
      <c r="A505">
        <v>504</v>
      </c>
      <c r="B505">
        <v>504</v>
      </c>
      <c r="C505">
        <v>10000</v>
      </c>
      <c r="D505" t="s">
        <v>10</v>
      </c>
      <c r="E505">
        <v>5.1995247639878803</v>
      </c>
      <c r="F505">
        <v>1.4486953002870899</v>
      </c>
      <c r="G505">
        <v>1.2708226007516E-2</v>
      </c>
      <c r="H505">
        <v>2.8525125365321501E-2</v>
      </c>
      <c r="I505">
        <v>0.445509909063033</v>
      </c>
      <c r="J505">
        <v>0.65596094646973002</v>
      </c>
      <c r="K505" s="6">
        <f t="shared" si="7"/>
        <v>7.991556334660424E-2</v>
      </c>
    </row>
    <row r="506" spans="1:11" x14ac:dyDescent="0.35">
      <c r="A506">
        <v>505</v>
      </c>
      <c r="B506">
        <v>505</v>
      </c>
      <c r="C506">
        <v>10500</v>
      </c>
      <c r="D506" t="s">
        <v>10</v>
      </c>
      <c r="E506">
        <v>5.2188582956771699</v>
      </c>
      <c r="F506">
        <v>1.401969706666</v>
      </c>
      <c r="G506">
        <v>-1.7511635816181901E-2</v>
      </c>
      <c r="H506">
        <v>2.77272965775778E-2</v>
      </c>
      <c r="I506">
        <v>-0.63156665011269397</v>
      </c>
      <c r="J506">
        <v>0.52768383598084001</v>
      </c>
      <c r="K506" s="6">
        <f t="shared" si="7"/>
        <v>7.7680378182293314E-2</v>
      </c>
    </row>
    <row r="507" spans="1:11" x14ac:dyDescent="0.35">
      <c r="A507">
        <v>506</v>
      </c>
      <c r="B507">
        <v>506</v>
      </c>
      <c r="C507">
        <v>11000</v>
      </c>
      <c r="D507" t="s">
        <v>10</v>
      </c>
      <c r="E507">
        <v>5.2075232671110996</v>
      </c>
      <c r="F507">
        <v>1.4285657495319299</v>
      </c>
      <c r="G507">
        <v>1.1443590904593501E-2</v>
      </c>
      <c r="H507">
        <v>2.70691063691565E-2</v>
      </c>
      <c r="I507">
        <v>0.42275466166229603</v>
      </c>
      <c r="J507">
        <v>0.67248253489264398</v>
      </c>
      <c r="K507" s="6">
        <f t="shared" si="7"/>
        <v>7.5836402367233324E-2</v>
      </c>
    </row>
    <row r="508" spans="1:11" x14ac:dyDescent="0.35">
      <c r="A508">
        <v>507</v>
      </c>
      <c r="B508">
        <v>507</v>
      </c>
      <c r="C508">
        <v>11500</v>
      </c>
      <c r="D508" t="s">
        <v>10</v>
      </c>
      <c r="E508">
        <v>5.2082401115919801</v>
      </c>
      <c r="F508">
        <v>1.4279562859866699</v>
      </c>
      <c r="G508">
        <v>1.72591733313835E-2</v>
      </c>
      <c r="H508">
        <v>2.6449706447177299E-2</v>
      </c>
      <c r="I508">
        <v>0.65252797288513598</v>
      </c>
      <c r="J508">
        <v>0.51407367856085795</v>
      </c>
      <c r="K508" s="6">
        <f t="shared" si="7"/>
        <v>7.4101100836815217E-2</v>
      </c>
    </row>
    <row r="509" spans="1:11" x14ac:dyDescent="0.35">
      <c r="A509">
        <v>508</v>
      </c>
      <c r="B509">
        <v>508</v>
      </c>
      <c r="C509">
        <v>12000</v>
      </c>
      <c r="D509" t="s">
        <v>10</v>
      </c>
      <c r="E509">
        <v>5.2216917946694501</v>
      </c>
      <c r="F509">
        <v>1.4205199091409</v>
      </c>
      <c r="G509">
        <v>-2.9631256104447599E-3</v>
      </c>
      <c r="H509">
        <v>2.58601919001103E-2</v>
      </c>
      <c r="I509">
        <v>-0.11458250665309699</v>
      </c>
      <c r="J509">
        <v>0.90877796338004702</v>
      </c>
      <c r="K509" s="6">
        <f t="shared" si="7"/>
        <v>7.2449525724470526E-2</v>
      </c>
    </row>
    <row r="510" spans="1:11" x14ac:dyDescent="0.35">
      <c r="A510">
        <v>509</v>
      </c>
      <c r="B510">
        <v>509</v>
      </c>
      <c r="C510">
        <v>12500</v>
      </c>
      <c r="D510" t="s">
        <v>10</v>
      </c>
      <c r="E510">
        <v>5.2349812791441899</v>
      </c>
      <c r="F510">
        <v>1.4225328888076501</v>
      </c>
      <c r="G510">
        <v>-2.9605605550994799E-2</v>
      </c>
      <c r="H510">
        <v>2.5335458619194999E-2</v>
      </c>
      <c r="I510">
        <v>-1.16854429185524</v>
      </c>
      <c r="J510">
        <v>0.24260957283796</v>
      </c>
      <c r="K510" s="6">
        <f t="shared" si="7"/>
        <v>7.0979440835657423E-2</v>
      </c>
    </row>
    <row r="511" spans="1:11" x14ac:dyDescent="0.35">
      <c r="A511">
        <v>510</v>
      </c>
      <c r="B511">
        <v>510</v>
      </c>
      <c r="C511">
        <v>13000</v>
      </c>
      <c r="D511" t="s">
        <v>10</v>
      </c>
      <c r="E511">
        <v>5.2420404171527597</v>
      </c>
      <c r="F511">
        <v>1.3832712100664599</v>
      </c>
      <c r="G511">
        <v>-3.6795163577817203E-2</v>
      </c>
      <c r="H511">
        <v>2.4805896891941799E-2</v>
      </c>
      <c r="I511">
        <v>-1.48332324922991</v>
      </c>
      <c r="J511">
        <v>0.13801279409070399</v>
      </c>
      <c r="K511" s="6">
        <f t="shared" si="7"/>
        <v>6.9495828644010771E-2</v>
      </c>
    </row>
    <row r="512" spans="1:11" x14ac:dyDescent="0.35">
      <c r="A512">
        <v>511</v>
      </c>
      <c r="B512">
        <v>511</v>
      </c>
      <c r="C512">
        <v>13500</v>
      </c>
      <c r="D512" t="s">
        <v>10</v>
      </c>
      <c r="E512">
        <v>5.21126199629445</v>
      </c>
      <c r="F512">
        <v>1.40643613886418</v>
      </c>
      <c r="G512">
        <v>2.40372372806925E-2</v>
      </c>
      <c r="H512">
        <v>2.4376499120712901E-2</v>
      </c>
      <c r="I512">
        <v>0.98608242150193903</v>
      </c>
      <c r="J512">
        <v>0.32411034382905302</v>
      </c>
      <c r="K512" s="6">
        <f t="shared" si="7"/>
        <v>6.8292834289102461E-2</v>
      </c>
    </row>
    <row r="513" spans="1:11" x14ac:dyDescent="0.35">
      <c r="A513">
        <v>512</v>
      </c>
      <c r="B513">
        <v>512</v>
      </c>
      <c r="C513">
        <v>14000</v>
      </c>
      <c r="D513" t="s">
        <v>10</v>
      </c>
      <c r="E513">
        <v>5.2227827583213404</v>
      </c>
      <c r="F513">
        <v>1.4389280565682201</v>
      </c>
      <c r="G513">
        <v>3.7524689308329499E-3</v>
      </c>
      <c r="H513">
        <v>2.3936138090855499E-2</v>
      </c>
      <c r="I513">
        <v>0.15677002349291</v>
      </c>
      <c r="J513">
        <v>0.87542835937242502</v>
      </c>
      <c r="K513" s="6">
        <f t="shared" si="7"/>
        <v>6.7059125433269404E-2</v>
      </c>
    </row>
    <row r="514" spans="1:11" x14ac:dyDescent="0.35">
      <c r="A514">
        <v>513</v>
      </c>
      <c r="B514">
        <v>513</v>
      </c>
      <c r="C514">
        <v>1000</v>
      </c>
      <c r="D514" t="s">
        <v>10</v>
      </c>
      <c r="E514">
        <v>5.1945845246020399</v>
      </c>
      <c r="F514">
        <v>1.42673775639291</v>
      </c>
      <c r="G514">
        <v>-5.7163829141799398E-2</v>
      </c>
      <c r="H514">
        <v>9.3707987034033102E-2</v>
      </c>
      <c r="I514">
        <v>-0.61002088457026105</v>
      </c>
      <c r="J514">
        <v>0.54198684263880703</v>
      </c>
      <c r="K514" s="6">
        <f t="shared" si="7"/>
        <v>0.26253089085474163</v>
      </c>
    </row>
    <row r="515" spans="1:11" x14ac:dyDescent="0.35">
      <c r="A515">
        <v>514</v>
      </c>
      <c r="B515">
        <v>514</v>
      </c>
      <c r="C515">
        <v>1500</v>
      </c>
      <c r="D515" t="s">
        <v>10</v>
      </c>
      <c r="E515">
        <v>5.1735553268005301</v>
      </c>
      <c r="F515">
        <v>1.40811164731099</v>
      </c>
      <c r="G515">
        <v>6.0396077958955997E-2</v>
      </c>
      <c r="H515">
        <v>7.4428703669189897E-2</v>
      </c>
      <c r="I515">
        <v>0.81146217764850403</v>
      </c>
      <c r="J515">
        <v>0.41722921798427498</v>
      </c>
      <c r="K515" s="6">
        <f t="shared" ref="K515:K578" si="8">H515*2.801585</f>
        <v>0.20851833976904741</v>
      </c>
    </row>
    <row r="516" spans="1:11" x14ac:dyDescent="0.35">
      <c r="A516">
        <v>515</v>
      </c>
      <c r="B516">
        <v>515</v>
      </c>
      <c r="C516">
        <v>2000</v>
      </c>
      <c r="D516" t="s">
        <v>10</v>
      </c>
      <c r="E516">
        <v>5.2148322805967</v>
      </c>
      <c r="F516">
        <v>1.4581143982128599</v>
      </c>
      <c r="G516">
        <v>-7.4713321772493096E-3</v>
      </c>
      <c r="H516">
        <v>6.4542706586019197E-2</v>
      </c>
      <c r="I516">
        <v>-0.115757962013755</v>
      </c>
      <c r="J516">
        <v>0.90785600058261795</v>
      </c>
      <c r="K516" s="6">
        <f t="shared" si="8"/>
        <v>0.1808218786307926</v>
      </c>
    </row>
    <row r="517" spans="1:11" x14ac:dyDescent="0.35">
      <c r="A517">
        <v>516</v>
      </c>
      <c r="B517">
        <v>516</v>
      </c>
      <c r="C517">
        <v>2500</v>
      </c>
      <c r="D517" t="s">
        <v>10</v>
      </c>
      <c r="E517">
        <v>5.20789102125035</v>
      </c>
      <c r="F517">
        <v>1.4348297610374801</v>
      </c>
      <c r="G517">
        <v>-1.7613457580167802E-2</v>
      </c>
      <c r="H517">
        <v>5.7881036319912003E-2</v>
      </c>
      <c r="I517">
        <v>-0.30430446135790001</v>
      </c>
      <c r="J517">
        <v>0.76092129353915605</v>
      </c>
      <c r="K517" s="6">
        <f t="shared" si="8"/>
        <v>0.16215864313832068</v>
      </c>
    </row>
    <row r="518" spans="1:11" x14ac:dyDescent="0.35">
      <c r="A518">
        <v>517</v>
      </c>
      <c r="B518">
        <v>517</v>
      </c>
      <c r="C518">
        <v>3000</v>
      </c>
      <c r="D518" t="s">
        <v>10</v>
      </c>
      <c r="E518">
        <v>5.2035113800912596</v>
      </c>
      <c r="F518">
        <v>1.43529487836823</v>
      </c>
      <c r="G518">
        <v>-6.0497093979178396E-3</v>
      </c>
      <c r="H518">
        <v>5.23582355522835E-2</v>
      </c>
      <c r="I518">
        <v>-0.115544562075182</v>
      </c>
      <c r="J518">
        <v>0.90802123975321103</v>
      </c>
      <c r="K518" s="6">
        <f t="shared" si="8"/>
        <v>0.14668604734974419</v>
      </c>
    </row>
    <row r="519" spans="1:11" x14ac:dyDescent="0.35">
      <c r="A519">
        <v>518</v>
      </c>
      <c r="B519">
        <v>518</v>
      </c>
      <c r="C519">
        <v>3500</v>
      </c>
      <c r="D519" t="s">
        <v>10</v>
      </c>
      <c r="E519">
        <v>5.1934384247611103</v>
      </c>
      <c r="F519">
        <v>1.46098002212939</v>
      </c>
      <c r="G519">
        <v>1.74486071446724E-2</v>
      </c>
      <c r="H519">
        <v>4.8951547193089501E-2</v>
      </c>
      <c r="I519">
        <v>0.35644648933865802</v>
      </c>
      <c r="J519">
        <v>0.72152771682485495</v>
      </c>
      <c r="K519" s="6">
        <f t="shared" si="8"/>
        <v>0.13714192034295167</v>
      </c>
    </row>
    <row r="520" spans="1:11" x14ac:dyDescent="0.35">
      <c r="A520">
        <v>519</v>
      </c>
      <c r="B520">
        <v>519</v>
      </c>
      <c r="C520">
        <v>4000</v>
      </c>
      <c r="D520" t="s">
        <v>10</v>
      </c>
      <c r="E520">
        <v>5.1883195131939601</v>
      </c>
      <c r="F520">
        <v>1.4659576720274401</v>
      </c>
      <c r="G520">
        <v>3.5757405431992802E-2</v>
      </c>
      <c r="H520">
        <v>4.5718723315442501E-2</v>
      </c>
      <c r="I520">
        <v>0.78211732172133797</v>
      </c>
      <c r="J520">
        <v>0.43419194499852898</v>
      </c>
      <c r="K520" s="6">
        <f t="shared" si="8"/>
        <v>0.12808488945969398</v>
      </c>
    </row>
    <row r="521" spans="1:11" x14ac:dyDescent="0.35">
      <c r="A521">
        <v>520</v>
      </c>
      <c r="B521">
        <v>520</v>
      </c>
      <c r="C521">
        <v>4500</v>
      </c>
      <c r="D521" t="s">
        <v>10</v>
      </c>
      <c r="E521">
        <v>5.17342944172605</v>
      </c>
      <c r="F521">
        <v>1.4356424965191701</v>
      </c>
      <c r="G521">
        <v>5.8453002514591103E-2</v>
      </c>
      <c r="H521">
        <v>4.2931039843830898E-2</v>
      </c>
      <c r="I521">
        <v>1.36155571183982</v>
      </c>
      <c r="J521">
        <v>0.17340633406873701</v>
      </c>
      <c r="K521" s="6">
        <f t="shared" si="8"/>
        <v>0.120274957260879</v>
      </c>
    </row>
    <row r="522" spans="1:11" x14ac:dyDescent="0.35">
      <c r="A522">
        <v>521</v>
      </c>
      <c r="B522">
        <v>521</v>
      </c>
      <c r="C522">
        <v>5000</v>
      </c>
      <c r="D522" t="s">
        <v>10</v>
      </c>
      <c r="E522">
        <v>5.20139481211329</v>
      </c>
      <c r="F522">
        <v>1.4491417609461701</v>
      </c>
      <c r="G522">
        <v>-2.07087462722295E-4</v>
      </c>
      <c r="H522">
        <v>4.0495708325133002E-2</v>
      </c>
      <c r="I522">
        <v>-5.1138125813141996E-3</v>
      </c>
      <c r="J522">
        <v>0.99591998976901097</v>
      </c>
      <c r="K522" s="6">
        <f t="shared" si="8"/>
        <v>0.11345216900806775</v>
      </c>
    </row>
    <row r="523" spans="1:11" x14ac:dyDescent="0.35">
      <c r="A523">
        <v>522</v>
      </c>
      <c r="B523">
        <v>522</v>
      </c>
      <c r="C523">
        <v>5500</v>
      </c>
      <c r="D523" t="s">
        <v>10</v>
      </c>
      <c r="E523">
        <v>5.2477337595963496</v>
      </c>
      <c r="F523">
        <v>1.4087637841177301</v>
      </c>
      <c r="G523">
        <v>-7.4942722677047602E-2</v>
      </c>
      <c r="H523">
        <v>3.8567343408724399E-2</v>
      </c>
      <c r="I523">
        <v>-1.9431652806061499</v>
      </c>
      <c r="J523">
        <v>5.2047164845897498E-2</v>
      </c>
      <c r="K523" s="6">
        <f t="shared" si="8"/>
        <v>0.10804969078373115</v>
      </c>
    </row>
    <row r="524" spans="1:11" x14ac:dyDescent="0.35">
      <c r="A524">
        <v>523</v>
      </c>
      <c r="B524">
        <v>523</v>
      </c>
      <c r="C524">
        <v>6000</v>
      </c>
      <c r="D524" t="s">
        <v>10</v>
      </c>
      <c r="E524">
        <v>5.1981525044583696</v>
      </c>
      <c r="F524">
        <v>1.4401597129891801</v>
      </c>
      <c r="G524">
        <v>4.4539196290577898E-2</v>
      </c>
      <c r="H524">
        <v>3.6999173046217297E-2</v>
      </c>
      <c r="I524">
        <v>1.20378896671399</v>
      </c>
      <c r="J524">
        <v>0.22871866059615301</v>
      </c>
      <c r="K524" s="6">
        <f t="shared" si="8"/>
        <v>0.1036563282186867</v>
      </c>
    </row>
    <row r="525" spans="1:11" x14ac:dyDescent="0.35">
      <c r="A525">
        <v>524</v>
      </c>
      <c r="B525">
        <v>524</v>
      </c>
      <c r="C525">
        <v>6500</v>
      </c>
      <c r="D525" t="s">
        <v>10</v>
      </c>
      <c r="E525">
        <v>5.2278067318558401</v>
      </c>
      <c r="F525">
        <v>1.4451394156934201</v>
      </c>
      <c r="G525">
        <v>-1.24594169769416E-2</v>
      </c>
      <c r="H525">
        <v>3.5565838789413898E-2</v>
      </c>
      <c r="I525">
        <v>-0.35031978440643802</v>
      </c>
      <c r="J525">
        <v>0.72611007386346405</v>
      </c>
      <c r="K525" s="6">
        <f t="shared" si="8"/>
        <v>9.9640720464840141E-2</v>
      </c>
    </row>
    <row r="526" spans="1:11" x14ac:dyDescent="0.35">
      <c r="A526">
        <v>525</v>
      </c>
      <c r="B526">
        <v>525</v>
      </c>
      <c r="C526">
        <v>7000</v>
      </c>
      <c r="D526" t="s">
        <v>10</v>
      </c>
      <c r="E526">
        <v>5.2130900185519398</v>
      </c>
      <c r="F526">
        <v>1.4605081779317799</v>
      </c>
      <c r="G526">
        <v>1.48102820499211E-2</v>
      </c>
      <c r="H526">
        <v>3.4256212114575697E-2</v>
      </c>
      <c r="I526">
        <v>0.43233857848572399</v>
      </c>
      <c r="J526">
        <v>0.66550867366984301</v>
      </c>
      <c r="K526" s="6">
        <f t="shared" si="8"/>
        <v>9.5971690017013556E-2</v>
      </c>
    </row>
    <row r="527" spans="1:11" x14ac:dyDescent="0.35">
      <c r="A527">
        <v>526</v>
      </c>
      <c r="B527">
        <v>526</v>
      </c>
      <c r="C527">
        <v>7500</v>
      </c>
      <c r="D527" t="s">
        <v>10</v>
      </c>
      <c r="E527">
        <v>5.2199986394154401</v>
      </c>
      <c r="F527">
        <v>1.4171143228037</v>
      </c>
      <c r="G527">
        <v>-2.10082486331709E-3</v>
      </c>
      <c r="H527">
        <v>3.2984492283939099E-2</v>
      </c>
      <c r="I527">
        <v>-6.3691289992661895E-2</v>
      </c>
      <c r="J527">
        <v>0.94921773803857701</v>
      </c>
      <c r="K527" s="6">
        <f t="shared" si="8"/>
        <v>9.2408858815299533E-2</v>
      </c>
    </row>
    <row r="528" spans="1:11" x14ac:dyDescent="0.35">
      <c r="A528">
        <v>527</v>
      </c>
      <c r="B528">
        <v>527</v>
      </c>
      <c r="C528">
        <v>8000</v>
      </c>
      <c r="D528" t="s">
        <v>10</v>
      </c>
      <c r="E528">
        <v>5.2045124891893302</v>
      </c>
      <c r="F528">
        <v>1.4383501363798701</v>
      </c>
      <c r="G528">
        <v>3.1767986184660202E-2</v>
      </c>
      <c r="H528">
        <v>3.1863110947241598E-2</v>
      </c>
      <c r="I528">
        <v>0.997014580191529</v>
      </c>
      <c r="J528">
        <v>0.31878759537606299</v>
      </c>
      <c r="K528" s="6">
        <f t="shared" si="8"/>
        <v>8.9267213683127858E-2</v>
      </c>
    </row>
    <row r="529" spans="1:11" x14ac:dyDescent="0.35">
      <c r="A529">
        <v>528</v>
      </c>
      <c r="B529">
        <v>528</v>
      </c>
      <c r="C529">
        <v>8500</v>
      </c>
      <c r="D529" t="s">
        <v>10</v>
      </c>
      <c r="E529">
        <v>5.20671650713318</v>
      </c>
      <c r="F529">
        <v>1.4435352368168499</v>
      </c>
      <c r="G529">
        <v>2.6713639765285301E-2</v>
      </c>
      <c r="H529">
        <v>3.0948450065332998E-2</v>
      </c>
      <c r="I529">
        <v>0.86316567417405698</v>
      </c>
      <c r="J529">
        <v>0.388070743045907</v>
      </c>
      <c r="K529" s="6">
        <f t="shared" si="8"/>
        <v>8.6704713476285958E-2</v>
      </c>
    </row>
    <row r="530" spans="1:11" x14ac:dyDescent="0.35">
      <c r="A530">
        <v>529</v>
      </c>
      <c r="B530">
        <v>529</v>
      </c>
      <c r="C530">
        <v>9000</v>
      </c>
      <c r="D530" t="s">
        <v>10</v>
      </c>
      <c r="E530">
        <v>5.2149075694110296</v>
      </c>
      <c r="F530">
        <v>1.43093617974687</v>
      </c>
      <c r="G530">
        <v>-1.80183425642192E-4</v>
      </c>
      <c r="H530">
        <v>3.0103307630315101E-2</v>
      </c>
      <c r="I530">
        <v>-5.98550258512923E-3</v>
      </c>
      <c r="J530">
        <v>0.99522442110412901</v>
      </c>
      <c r="K530" s="6">
        <f t="shared" si="8"/>
        <v>8.4336975107476342E-2</v>
      </c>
    </row>
    <row r="531" spans="1:11" x14ac:dyDescent="0.35">
      <c r="A531">
        <v>530</v>
      </c>
      <c r="B531">
        <v>530</v>
      </c>
      <c r="C531">
        <v>9500</v>
      </c>
      <c r="D531" t="s">
        <v>10</v>
      </c>
      <c r="E531">
        <v>5.1941324037150096</v>
      </c>
      <c r="F531">
        <v>1.4437751291518199</v>
      </c>
      <c r="G531">
        <v>2.51503240165987E-2</v>
      </c>
      <c r="H531">
        <v>2.9274158455599001E-2</v>
      </c>
      <c r="I531">
        <v>0.85913055552885897</v>
      </c>
      <c r="J531">
        <v>0.39029017299531299</v>
      </c>
      <c r="K531" s="6">
        <f t="shared" si="8"/>
        <v>8.2014043216829327E-2</v>
      </c>
    </row>
    <row r="532" spans="1:11" x14ac:dyDescent="0.35">
      <c r="A532">
        <v>531</v>
      </c>
      <c r="B532">
        <v>531</v>
      </c>
      <c r="C532">
        <v>10000</v>
      </c>
      <c r="D532" t="s">
        <v>10</v>
      </c>
      <c r="E532">
        <v>5.1989756322301801</v>
      </c>
      <c r="F532">
        <v>1.42132078369465</v>
      </c>
      <c r="G532">
        <v>1.3789241033813101E-2</v>
      </c>
      <c r="H532">
        <v>2.8521481307558699E-2</v>
      </c>
      <c r="I532">
        <v>0.48346861388853402</v>
      </c>
      <c r="J532">
        <v>0.62877362748159704</v>
      </c>
      <c r="K532" s="6">
        <f t="shared" si="8"/>
        <v>7.9905354209036841E-2</v>
      </c>
    </row>
    <row r="533" spans="1:11" x14ac:dyDescent="0.35">
      <c r="A533">
        <v>532</v>
      </c>
      <c r="B533">
        <v>532</v>
      </c>
      <c r="C533">
        <v>10500</v>
      </c>
      <c r="D533" t="s">
        <v>10</v>
      </c>
      <c r="E533">
        <v>5.1917239394088304</v>
      </c>
      <c r="F533">
        <v>1.44100953739083</v>
      </c>
      <c r="G533">
        <v>3.6701372595290098E-2</v>
      </c>
      <c r="H533">
        <v>2.7729094103783498E-2</v>
      </c>
      <c r="I533">
        <v>1.3235691168966901</v>
      </c>
      <c r="J533">
        <v>0.185675009611387</v>
      </c>
      <c r="K533" s="6">
        <f t="shared" si="8"/>
        <v>7.7685414104748302E-2</v>
      </c>
    </row>
    <row r="534" spans="1:11" x14ac:dyDescent="0.35">
      <c r="A534">
        <v>533</v>
      </c>
      <c r="B534">
        <v>533</v>
      </c>
      <c r="C534">
        <v>11000</v>
      </c>
      <c r="D534" t="s">
        <v>10</v>
      </c>
      <c r="E534">
        <v>5.1940581732970301</v>
      </c>
      <c r="F534">
        <v>1.42071206984696</v>
      </c>
      <c r="G534">
        <v>3.8148373911109201E-2</v>
      </c>
      <c r="H534">
        <v>2.7068722619316699E-2</v>
      </c>
      <c r="I534">
        <v>1.40931563146189</v>
      </c>
      <c r="J534">
        <v>0.158770132789296</v>
      </c>
      <c r="K534" s="6">
        <f t="shared" si="8"/>
        <v>7.5835327259438381E-2</v>
      </c>
    </row>
    <row r="535" spans="1:11" x14ac:dyDescent="0.35">
      <c r="A535">
        <v>534</v>
      </c>
      <c r="B535">
        <v>534</v>
      </c>
      <c r="C535">
        <v>11500</v>
      </c>
      <c r="D535" t="s">
        <v>10</v>
      </c>
      <c r="E535">
        <v>5.2073650724411804</v>
      </c>
      <c r="F535">
        <v>1.40957177124523</v>
      </c>
      <c r="G535">
        <v>1.9496059157756599E-2</v>
      </c>
      <c r="H535">
        <v>2.6453287697450398E-2</v>
      </c>
      <c r="I535">
        <v>0.73699947548053302</v>
      </c>
      <c r="J535">
        <v>0.46113770610375998</v>
      </c>
      <c r="K535" s="6">
        <f t="shared" si="8"/>
        <v>7.4111134013861574E-2</v>
      </c>
    </row>
    <row r="536" spans="1:11" x14ac:dyDescent="0.35">
      <c r="A536">
        <v>535</v>
      </c>
      <c r="B536">
        <v>535</v>
      </c>
      <c r="C536">
        <v>12000</v>
      </c>
      <c r="D536" t="s">
        <v>10</v>
      </c>
      <c r="E536">
        <v>5.2231810674554904</v>
      </c>
      <c r="F536">
        <v>1.4072594192877701</v>
      </c>
      <c r="G536">
        <v>-5.8660091983393798E-3</v>
      </c>
      <c r="H536">
        <v>2.58584783941678E-2</v>
      </c>
      <c r="I536">
        <v>-0.226850517223876</v>
      </c>
      <c r="J536">
        <v>0.82054384523680901</v>
      </c>
      <c r="K536" s="6">
        <f t="shared" si="8"/>
        <v>7.2444725191924603E-2</v>
      </c>
    </row>
    <row r="537" spans="1:11" x14ac:dyDescent="0.35">
      <c r="A537">
        <v>536</v>
      </c>
      <c r="B537">
        <v>536</v>
      </c>
      <c r="C537">
        <v>12500</v>
      </c>
      <c r="D537" t="s">
        <v>10</v>
      </c>
      <c r="E537">
        <v>5.2097342550851904</v>
      </c>
      <c r="F537">
        <v>1.42386717948717</v>
      </c>
      <c r="G537">
        <v>2.0389707577018301E-2</v>
      </c>
      <c r="H537">
        <v>2.53472643825823E-2</v>
      </c>
      <c r="I537">
        <v>0.80441452257977797</v>
      </c>
      <c r="J537">
        <v>0.42117291758855702</v>
      </c>
      <c r="K537" s="6">
        <f t="shared" si="8"/>
        <v>7.1012515685276834E-2</v>
      </c>
    </row>
    <row r="538" spans="1:11" x14ac:dyDescent="0.35">
      <c r="A538">
        <v>537</v>
      </c>
      <c r="B538">
        <v>537</v>
      </c>
      <c r="C538">
        <v>13000</v>
      </c>
      <c r="D538" t="s">
        <v>10</v>
      </c>
      <c r="E538">
        <v>5.2015778763003402</v>
      </c>
      <c r="F538">
        <v>1.42304922268062</v>
      </c>
      <c r="G538">
        <v>4.4476390394307203E-2</v>
      </c>
      <c r="H538">
        <v>2.4810587365067999E-2</v>
      </c>
      <c r="I538">
        <v>1.79263754379824</v>
      </c>
      <c r="J538">
        <v>7.3054144329693899E-2</v>
      </c>
      <c r="K538" s="6">
        <f t="shared" si="8"/>
        <v>6.9508969403164034E-2</v>
      </c>
    </row>
    <row r="539" spans="1:11" x14ac:dyDescent="0.35">
      <c r="A539">
        <v>538</v>
      </c>
      <c r="B539">
        <v>538</v>
      </c>
      <c r="C539">
        <v>13500</v>
      </c>
      <c r="D539" t="s">
        <v>10</v>
      </c>
      <c r="E539">
        <v>5.2167299801317402</v>
      </c>
      <c r="F539">
        <v>1.4421258306125799</v>
      </c>
      <c r="G539">
        <v>1.30768008989597E-2</v>
      </c>
      <c r="H539">
        <v>2.4370970159750399E-2</v>
      </c>
      <c r="I539">
        <v>0.53657284930562699</v>
      </c>
      <c r="J539">
        <v>0.59157154568660797</v>
      </c>
      <c r="K539" s="6">
        <f t="shared" si="8"/>
        <v>6.8277344435004328E-2</v>
      </c>
    </row>
    <row r="540" spans="1:11" x14ac:dyDescent="0.35">
      <c r="A540">
        <v>539</v>
      </c>
      <c r="B540">
        <v>539</v>
      </c>
      <c r="C540">
        <v>14000</v>
      </c>
      <c r="D540" t="s">
        <v>10</v>
      </c>
      <c r="E540">
        <v>5.2208039325123003</v>
      </c>
      <c r="F540">
        <v>1.4078288354063899</v>
      </c>
      <c r="G540">
        <v>7.8379445940245408E-3</v>
      </c>
      <c r="H540">
        <v>2.3948628121336701E-2</v>
      </c>
      <c r="I540">
        <v>0.32728156929546298</v>
      </c>
      <c r="J540">
        <v>0.74345982510861697</v>
      </c>
      <c r="K540" s="13">
        <f t="shared" si="8"/>
        <v>6.7094117315315088E-2</v>
      </c>
    </row>
    <row r="541" spans="1:11" x14ac:dyDescent="0.35">
      <c r="A541">
        <v>540</v>
      </c>
      <c r="B541">
        <v>540</v>
      </c>
      <c r="C541">
        <v>1000</v>
      </c>
      <c r="D541" t="s">
        <v>10</v>
      </c>
      <c r="E541">
        <v>5.1467786939192504</v>
      </c>
      <c r="F541">
        <v>1.51971411662067</v>
      </c>
      <c r="G541">
        <v>3.9169786259259903E-2</v>
      </c>
      <c r="H541">
        <v>9.3627065641727597E-2</v>
      </c>
      <c r="I541">
        <v>0.41835964836435902</v>
      </c>
      <c r="J541">
        <v>0.67577419169307595</v>
      </c>
      <c r="K541" s="6">
        <f t="shared" si="8"/>
        <v>0.26230418269587941</v>
      </c>
    </row>
    <row r="542" spans="1:11" x14ac:dyDescent="0.35">
      <c r="A542">
        <v>541</v>
      </c>
      <c r="B542">
        <v>541</v>
      </c>
      <c r="C542">
        <v>1500</v>
      </c>
      <c r="D542" t="s">
        <v>11</v>
      </c>
      <c r="E542">
        <v>378.964</v>
      </c>
      <c r="F542">
        <v>502.97133940382901</v>
      </c>
      <c r="G542">
        <v>-5.4832170860154197E-2</v>
      </c>
      <c r="H542">
        <v>7.3303076515273305E-2</v>
      </c>
      <c r="I542">
        <v>-0.74802004863642302</v>
      </c>
      <c r="J542">
        <v>0.45444806474189497</v>
      </c>
      <c r="K542" s="6">
        <f t="shared" si="8"/>
        <v>0.20536479961904197</v>
      </c>
    </row>
    <row r="543" spans="1:11" x14ac:dyDescent="0.35">
      <c r="A543">
        <v>542</v>
      </c>
      <c r="B543">
        <v>542</v>
      </c>
      <c r="C543">
        <v>2000</v>
      </c>
      <c r="D543" t="s">
        <v>11</v>
      </c>
      <c r="E543">
        <v>361.32606541129798</v>
      </c>
      <c r="F543">
        <v>457.66266485920801</v>
      </c>
      <c r="G543">
        <v>6.0146752896410902E-2</v>
      </c>
      <c r="H543">
        <v>6.15627375959579E-2</v>
      </c>
      <c r="I543">
        <v>0.97699932207628204</v>
      </c>
      <c r="J543">
        <v>0.32856948798709201</v>
      </c>
      <c r="K543" s="6">
        <f t="shared" si="8"/>
        <v>0.17247324220777172</v>
      </c>
    </row>
    <row r="544" spans="1:11" x14ac:dyDescent="0.35">
      <c r="A544">
        <v>543</v>
      </c>
      <c r="B544">
        <v>543</v>
      </c>
      <c r="C544">
        <v>2500</v>
      </c>
      <c r="D544" t="s">
        <v>11</v>
      </c>
      <c r="E544">
        <v>392.91761827079898</v>
      </c>
      <c r="F544">
        <v>560.84656469133995</v>
      </c>
      <c r="G544">
        <v>-0.122128551844236</v>
      </c>
      <c r="H544">
        <v>5.5026721356744898E-2</v>
      </c>
      <c r="I544">
        <v>-2.2194408249850399</v>
      </c>
      <c r="J544">
        <v>2.64567488355235E-2</v>
      </c>
      <c r="K544" s="6">
        <f t="shared" si="8"/>
        <v>0.15416203715223617</v>
      </c>
    </row>
    <row r="545" spans="1:11" x14ac:dyDescent="0.35">
      <c r="A545">
        <v>544</v>
      </c>
      <c r="B545">
        <v>544</v>
      </c>
      <c r="C545">
        <v>3000</v>
      </c>
      <c r="D545" t="s">
        <v>11</v>
      </c>
      <c r="E545">
        <v>384.19153365718302</v>
      </c>
      <c r="F545">
        <v>558.40720850612604</v>
      </c>
      <c r="G545">
        <v>-9.2663903684580606E-2</v>
      </c>
      <c r="H545">
        <v>4.9697074706568201E-2</v>
      </c>
      <c r="I545">
        <v>-1.8645746099082501</v>
      </c>
      <c r="J545">
        <v>6.2241054523763897E-2</v>
      </c>
      <c r="K545" s="6">
        <f t="shared" si="8"/>
        <v>0.13923057904180089</v>
      </c>
    </row>
    <row r="546" spans="1:11" x14ac:dyDescent="0.35">
      <c r="A546">
        <v>545</v>
      </c>
      <c r="B546">
        <v>545</v>
      </c>
      <c r="C546">
        <v>3500</v>
      </c>
      <c r="D546" t="s">
        <v>11</v>
      </c>
      <c r="E546">
        <v>381.37923250564302</v>
      </c>
      <c r="F546">
        <v>535.04328344927001</v>
      </c>
      <c r="G546">
        <v>-5.89046169756854E-2</v>
      </c>
      <c r="H546">
        <v>4.6064482719762101E-2</v>
      </c>
      <c r="I546">
        <v>-1.2787426124816701</v>
      </c>
      <c r="J546">
        <v>0.20098770857537199</v>
      </c>
      <c r="K546" s="6">
        <f t="shared" si="8"/>
        <v>0.12905356382044472</v>
      </c>
    </row>
    <row r="547" spans="1:11" x14ac:dyDescent="0.35">
      <c r="A547">
        <v>546</v>
      </c>
      <c r="B547">
        <v>546</v>
      </c>
      <c r="C547">
        <v>4000</v>
      </c>
      <c r="D547" t="s">
        <v>11</v>
      </c>
      <c r="E547">
        <v>365.46759030183102</v>
      </c>
      <c r="F547">
        <v>467.11384280725503</v>
      </c>
      <c r="G547">
        <v>2.1528652047752998E-2</v>
      </c>
      <c r="H547">
        <v>4.2640170064919103E-2</v>
      </c>
      <c r="I547">
        <v>0.50489132700399397</v>
      </c>
      <c r="J547">
        <v>0.61363516604458701</v>
      </c>
      <c r="K547" s="6">
        <f t="shared" si="8"/>
        <v>0.11946006085132639</v>
      </c>
    </row>
    <row r="548" spans="1:11" x14ac:dyDescent="0.35">
      <c r="A548">
        <v>547</v>
      </c>
      <c r="B548">
        <v>547</v>
      </c>
      <c r="C548">
        <v>4500</v>
      </c>
      <c r="D548" t="s">
        <v>11</v>
      </c>
      <c r="E548">
        <v>362.64570416297602</v>
      </c>
      <c r="F548">
        <v>504.57721066812201</v>
      </c>
      <c r="G548">
        <v>2.3696216879409E-2</v>
      </c>
      <c r="H548">
        <v>4.0212012716641099E-2</v>
      </c>
      <c r="I548">
        <v>0.58928203983191196</v>
      </c>
      <c r="J548">
        <v>0.55567209087691105</v>
      </c>
      <c r="K548" s="6">
        <f t="shared" si="8"/>
        <v>0.11265737164675096</v>
      </c>
    </row>
    <row r="549" spans="1:11" x14ac:dyDescent="0.35">
      <c r="A549">
        <v>548</v>
      </c>
      <c r="B549">
        <v>548</v>
      </c>
      <c r="C549">
        <v>5000</v>
      </c>
      <c r="D549" t="s">
        <v>11</v>
      </c>
      <c r="E549">
        <v>363.850060459492</v>
      </c>
      <c r="F549">
        <v>464.40654387394198</v>
      </c>
      <c r="G549">
        <v>-2.4133950485396602E-3</v>
      </c>
      <c r="H549">
        <v>3.7733618995501102E-2</v>
      </c>
      <c r="I549">
        <v>-6.3958748532109005E-2</v>
      </c>
      <c r="J549">
        <v>0.94900307342337298</v>
      </c>
      <c r="K549" s="6">
        <f t="shared" si="8"/>
        <v>0.10571394097351096</v>
      </c>
    </row>
    <row r="550" spans="1:11" x14ac:dyDescent="0.35">
      <c r="A550">
        <v>549</v>
      </c>
      <c r="B550">
        <v>549</v>
      </c>
      <c r="C550">
        <v>5500</v>
      </c>
      <c r="D550" t="s">
        <v>11</v>
      </c>
      <c r="E550">
        <v>363.94899478778899</v>
      </c>
      <c r="F550">
        <v>503.109399053647</v>
      </c>
      <c r="G550">
        <v>2.1589671305083099E-2</v>
      </c>
      <c r="H550">
        <v>3.6160973459816198E-2</v>
      </c>
      <c r="I550">
        <v>0.59704342110907205</v>
      </c>
      <c r="J550">
        <v>0.55047839101472595</v>
      </c>
      <c r="K550" s="6">
        <f t="shared" si="8"/>
        <v>0.10130804083041917</v>
      </c>
    </row>
    <row r="551" spans="1:11" x14ac:dyDescent="0.35">
      <c r="A551">
        <v>550</v>
      </c>
      <c r="B551">
        <v>550</v>
      </c>
      <c r="C551">
        <v>6000</v>
      </c>
      <c r="D551" t="s">
        <v>11</v>
      </c>
      <c r="E551">
        <v>367.65896335424202</v>
      </c>
      <c r="F551">
        <v>518.38798144777002</v>
      </c>
      <c r="G551">
        <v>2.5990734078334798E-2</v>
      </c>
      <c r="H551">
        <v>3.4805196030750399E-2</v>
      </c>
      <c r="I551">
        <v>0.74674867670252498</v>
      </c>
      <c r="J551">
        <v>0.45521528105318199</v>
      </c>
      <c r="K551" s="6">
        <f t="shared" si="8"/>
        <v>9.7509715121809865E-2</v>
      </c>
    </row>
    <row r="552" spans="1:11" x14ac:dyDescent="0.35">
      <c r="A552">
        <v>551</v>
      </c>
      <c r="B552">
        <v>551</v>
      </c>
      <c r="C552">
        <v>6500</v>
      </c>
      <c r="D552" t="s">
        <v>11</v>
      </c>
      <c r="E552">
        <v>369.27996395313897</v>
      </c>
      <c r="F552">
        <v>493.88023327299402</v>
      </c>
      <c r="G552">
        <v>2.0355468254555802E-2</v>
      </c>
      <c r="H552">
        <v>3.3261047331969697E-2</v>
      </c>
      <c r="I552">
        <v>0.61199119953720205</v>
      </c>
      <c r="J552">
        <v>0.54054358014404202</v>
      </c>
      <c r="K552" s="6">
        <f t="shared" si="8"/>
        <v>9.3183651289536332E-2</v>
      </c>
    </row>
    <row r="553" spans="1:11" x14ac:dyDescent="0.35">
      <c r="A553">
        <v>552</v>
      </c>
      <c r="B553">
        <v>552</v>
      </c>
      <c r="C553">
        <v>7000</v>
      </c>
      <c r="D553" t="s">
        <v>11</v>
      </c>
      <c r="E553">
        <v>370.90154711673699</v>
      </c>
      <c r="F553">
        <v>511.46812959544798</v>
      </c>
      <c r="G553">
        <v>3.74344265125467E-3</v>
      </c>
      <c r="H553">
        <v>3.1841828116213201E-2</v>
      </c>
      <c r="I553">
        <v>0.11756368502437201</v>
      </c>
      <c r="J553">
        <v>0.90641338049805098</v>
      </c>
      <c r="K553" s="6">
        <f t="shared" si="8"/>
        <v>8.9207588022961165E-2</v>
      </c>
    </row>
    <row r="554" spans="1:11" x14ac:dyDescent="0.35">
      <c r="A554">
        <v>553</v>
      </c>
      <c r="B554">
        <v>553</v>
      </c>
      <c r="C554">
        <v>7500</v>
      </c>
      <c r="D554" t="s">
        <v>11</v>
      </c>
      <c r="E554">
        <v>378.13113883727101</v>
      </c>
      <c r="F554">
        <v>480.16136405695602</v>
      </c>
      <c r="G554">
        <v>-4.5285482814374903E-2</v>
      </c>
      <c r="H554">
        <v>3.0820563382993701E-2</v>
      </c>
      <c r="I554">
        <v>-1.4693268987861099</v>
      </c>
      <c r="J554">
        <v>0.14174414431183499</v>
      </c>
      <c r="K554" s="6">
        <f t="shared" si="8"/>
        <v>8.6346428065344413E-2</v>
      </c>
    </row>
    <row r="555" spans="1:11" x14ac:dyDescent="0.35">
      <c r="A555">
        <v>554</v>
      </c>
      <c r="B555">
        <v>554</v>
      </c>
      <c r="C555">
        <v>8000</v>
      </c>
      <c r="D555" t="s">
        <v>11</v>
      </c>
      <c r="E555">
        <v>375.22474432526798</v>
      </c>
      <c r="F555">
        <v>502.62470089167698</v>
      </c>
      <c r="G555">
        <v>-2.32972995944449E-2</v>
      </c>
      <c r="H555">
        <v>2.9897460916918001E-2</v>
      </c>
      <c r="I555">
        <v>-0.77924007189726496</v>
      </c>
      <c r="J555">
        <v>0.43583830904798698</v>
      </c>
      <c r="K555" s="6">
        <f t="shared" si="8"/>
        <v>8.3760278042923728E-2</v>
      </c>
    </row>
    <row r="556" spans="1:11" x14ac:dyDescent="0.35">
      <c r="A556">
        <v>555</v>
      </c>
      <c r="B556">
        <v>555</v>
      </c>
      <c r="C556">
        <v>8500</v>
      </c>
      <c r="D556" t="s">
        <v>11</v>
      </c>
      <c r="E556">
        <v>376.39230408258999</v>
      </c>
      <c r="F556">
        <v>507.63185663419898</v>
      </c>
      <c r="G556">
        <v>-2.6932861729014702E-2</v>
      </c>
      <c r="H556">
        <v>2.90357462113662E-2</v>
      </c>
      <c r="I556">
        <v>-0.92757601381953203</v>
      </c>
      <c r="J556">
        <v>0.35362754468761498</v>
      </c>
      <c r="K556" s="6">
        <f t="shared" si="8"/>
        <v>8.1346111049570388E-2</v>
      </c>
    </row>
    <row r="557" spans="1:11" x14ac:dyDescent="0.35">
      <c r="A557">
        <v>556</v>
      </c>
      <c r="B557">
        <v>556</v>
      </c>
      <c r="C557">
        <v>9000</v>
      </c>
      <c r="D557" t="s">
        <v>11</v>
      </c>
      <c r="E557">
        <v>370.59301039592998</v>
      </c>
      <c r="F557">
        <v>491.749891267659</v>
      </c>
      <c r="G557">
        <v>-7.0014945300673698E-3</v>
      </c>
      <c r="H557">
        <v>2.8169388349843099E-2</v>
      </c>
      <c r="I557">
        <v>-0.24854975348111799</v>
      </c>
      <c r="J557">
        <v>0.80370907975773798</v>
      </c>
      <c r="K557" s="6">
        <f t="shared" si="8"/>
        <v>7.8918935860095185E-2</v>
      </c>
    </row>
    <row r="558" spans="1:11" x14ac:dyDescent="0.35">
      <c r="A558">
        <v>557</v>
      </c>
      <c r="B558">
        <v>557</v>
      </c>
      <c r="C558">
        <v>9500</v>
      </c>
      <c r="D558" t="s">
        <v>11</v>
      </c>
      <c r="E558">
        <v>362.70242958503502</v>
      </c>
      <c r="F558">
        <v>466.84319399225598</v>
      </c>
      <c r="G558">
        <v>1.64859680203619E-2</v>
      </c>
      <c r="H558">
        <v>2.73253727687322E-2</v>
      </c>
      <c r="I558">
        <v>0.60332088275210805</v>
      </c>
      <c r="J558">
        <v>0.546295243358631</v>
      </c>
      <c r="K558" s="6">
        <f t="shared" si="8"/>
        <v>7.6554354468288607E-2</v>
      </c>
    </row>
    <row r="559" spans="1:11" x14ac:dyDescent="0.35">
      <c r="A559">
        <v>558</v>
      </c>
      <c r="B559">
        <v>558</v>
      </c>
      <c r="C559">
        <v>10000</v>
      </c>
      <c r="D559" t="s">
        <v>11</v>
      </c>
      <c r="E559">
        <v>375.30882932597598</v>
      </c>
      <c r="F559">
        <v>516.07754584589804</v>
      </c>
      <c r="G559">
        <v>-5.8434542202511597E-2</v>
      </c>
      <c r="H559">
        <v>2.6690243560276401E-2</v>
      </c>
      <c r="I559">
        <v>-2.1893596463646001</v>
      </c>
      <c r="J559">
        <v>2.8570710236271099E-2</v>
      </c>
      <c r="K559" s="6">
        <f t="shared" si="8"/>
        <v>7.4774986004816968E-2</v>
      </c>
    </row>
    <row r="560" spans="1:11" x14ac:dyDescent="0.35">
      <c r="A560">
        <v>559</v>
      </c>
      <c r="B560">
        <v>559</v>
      </c>
      <c r="C560">
        <v>10500</v>
      </c>
      <c r="D560" t="s">
        <v>11</v>
      </c>
      <c r="E560">
        <v>372.13451970914701</v>
      </c>
      <c r="F560">
        <v>512.29956854334</v>
      </c>
      <c r="G560">
        <v>-3.9344400193287797E-2</v>
      </c>
      <c r="H560">
        <v>2.59746985276679E-2</v>
      </c>
      <c r="I560">
        <v>-1.51472018631433</v>
      </c>
      <c r="J560">
        <v>0.12984328013072099</v>
      </c>
      <c r="K560" s="6">
        <f t="shared" si="8"/>
        <v>7.2770325774636477E-2</v>
      </c>
    </row>
    <row r="561" spans="1:11" x14ac:dyDescent="0.35">
      <c r="A561">
        <v>560</v>
      </c>
      <c r="B561">
        <v>560</v>
      </c>
      <c r="C561">
        <v>11000</v>
      </c>
      <c r="D561" t="s">
        <v>11</v>
      </c>
      <c r="E561">
        <v>368.59794372294402</v>
      </c>
      <c r="F561">
        <v>482.17879296452901</v>
      </c>
      <c r="G561">
        <v>-1.55879402051394E-2</v>
      </c>
      <c r="H561">
        <v>2.5298187303042698E-2</v>
      </c>
      <c r="I561">
        <v>-0.61616826606642305</v>
      </c>
      <c r="J561">
        <v>0.53778347038063801</v>
      </c>
      <c r="K561" s="6">
        <f t="shared" si="8"/>
        <v>7.0875022075394881E-2</v>
      </c>
    </row>
    <row r="562" spans="1:11" x14ac:dyDescent="0.35">
      <c r="A562">
        <v>561</v>
      </c>
      <c r="B562">
        <v>561</v>
      </c>
      <c r="C562">
        <v>11500</v>
      </c>
      <c r="D562" t="s">
        <v>11</v>
      </c>
      <c r="E562">
        <v>369.99603516635102</v>
      </c>
      <c r="F562">
        <v>497.40797293167901</v>
      </c>
      <c r="G562">
        <v>-1.6227554987669299E-2</v>
      </c>
      <c r="H562">
        <v>2.4612233630625001E-2</v>
      </c>
      <c r="I562">
        <v>-0.65932882123617498</v>
      </c>
      <c r="J562">
        <v>0.50968463866515101</v>
      </c>
      <c r="K562" s="6">
        <f t="shared" si="8"/>
        <v>6.895326455605455E-2</v>
      </c>
    </row>
    <row r="563" spans="1:11" x14ac:dyDescent="0.35">
      <c r="A563">
        <v>562</v>
      </c>
      <c r="B563">
        <v>562</v>
      </c>
      <c r="C563">
        <v>12000</v>
      </c>
      <c r="D563" t="s">
        <v>11</v>
      </c>
      <c r="E563">
        <v>371.50867625185901</v>
      </c>
      <c r="F563">
        <v>514.55671691730004</v>
      </c>
      <c r="G563">
        <v>-1.6527869050809201E-2</v>
      </c>
      <c r="H563">
        <v>2.4145548271869099E-2</v>
      </c>
      <c r="I563">
        <v>-0.684509991850757</v>
      </c>
      <c r="J563">
        <v>0.49365318209061398</v>
      </c>
      <c r="K563" s="6">
        <f t="shared" si="8"/>
        <v>6.7645805855244392E-2</v>
      </c>
    </row>
    <row r="564" spans="1:11" x14ac:dyDescent="0.35">
      <c r="A564">
        <v>563</v>
      </c>
      <c r="B564">
        <v>563</v>
      </c>
      <c r="C564">
        <v>12500</v>
      </c>
      <c r="D564" t="s">
        <v>11</v>
      </c>
      <c r="E564">
        <v>364.697037990985</v>
      </c>
      <c r="F564">
        <v>478.56672548675698</v>
      </c>
      <c r="G564">
        <v>2.5197751270859801E-2</v>
      </c>
      <c r="H564">
        <v>2.3908837527026199E-2</v>
      </c>
      <c r="I564">
        <v>1.05390951117455</v>
      </c>
      <c r="J564">
        <v>0.29192434793947197</v>
      </c>
      <c r="K564" s="6">
        <f t="shared" si="8"/>
        <v>6.6982640583153702E-2</v>
      </c>
    </row>
    <row r="565" spans="1:11" x14ac:dyDescent="0.35">
      <c r="A565">
        <v>564</v>
      </c>
      <c r="B565">
        <v>564</v>
      </c>
      <c r="C565">
        <v>13000</v>
      </c>
      <c r="D565" t="s">
        <v>11</v>
      </c>
      <c r="E565">
        <v>366.703641112306</v>
      </c>
      <c r="F565">
        <v>479.69416689157401</v>
      </c>
      <c r="G565">
        <v>2.05989724349744E-2</v>
      </c>
      <c r="H565">
        <v>2.3401234432213602E-2</v>
      </c>
      <c r="I565">
        <v>0.880251530945664</v>
      </c>
      <c r="J565">
        <v>0.37872306329233801</v>
      </c>
      <c r="K565" s="6">
        <f t="shared" si="8"/>
        <v>6.556054736677315E-2</v>
      </c>
    </row>
    <row r="566" spans="1:11" x14ac:dyDescent="0.35">
      <c r="A566">
        <v>565</v>
      </c>
      <c r="B566">
        <v>565</v>
      </c>
      <c r="C566">
        <v>13500</v>
      </c>
      <c r="D566" t="s">
        <v>11</v>
      </c>
      <c r="E566">
        <v>371.35932152953399</v>
      </c>
      <c r="F566">
        <v>509.25923695343698</v>
      </c>
      <c r="G566">
        <v>-4.2573422095471504E-3</v>
      </c>
      <c r="H566">
        <v>2.28948836482523E-2</v>
      </c>
      <c r="I566">
        <v>-0.185951685754566</v>
      </c>
      <c r="J566">
        <v>0.85248264959962095</v>
      </c>
      <c r="K566" s="6">
        <f t="shared" si="8"/>
        <v>6.4141962605688926E-2</v>
      </c>
    </row>
    <row r="567" spans="1:11" x14ac:dyDescent="0.35">
      <c r="A567">
        <v>566</v>
      </c>
      <c r="B567">
        <v>566</v>
      </c>
      <c r="C567">
        <v>14000</v>
      </c>
      <c r="D567" t="s">
        <v>11</v>
      </c>
      <c r="E567">
        <v>368.81275014293902</v>
      </c>
      <c r="F567">
        <v>493.89822635736903</v>
      </c>
      <c r="G567">
        <v>1.43819951529449E-2</v>
      </c>
      <c r="H567">
        <v>2.2559694309595001E-2</v>
      </c>
      <c r="I567">
        <v>0.63750842345536496</v>
      </c>
      <c r="J567">
        <v>0.52379372492171705</v>
      </c>
      <c r="K567" s="6">
        <f t="shared" si="8"/>
        <v>6.3202901182346713E-2</v>
      </c>
    </row>
    <row r="568" spans="1:11" x14ac:dyDescent="0.35">
      <c r="A568">
        <v>567</v>
      </c>
      <c r="B568">
        <v>567</v>
      </c>
      <c r="C568">
        <v>1000</v>
      </c>
      <c r="D568" t="s">
        <v>11</v>
      </c>
      <c r="E568">
        <v>380.44941634241201</v>
      </c>
      <c r="F568">
        <v>612.33694362174901</v>
      </c>
      <c r="G568">
        <v>-6.9716634543647099E-2</v>
      </c>
      <c r="H568">
        <v>9.5226466203659293E-2</v>
      </c>
      <c r="I568">
        <v>-0.73211405739393198</v>
      </c>
      <c r="J568">
        <v>0.46409895440150001</v>
      </c>
      <c r="K568" s="6">
        <f t="shared" si="8"/>
        <v>0.26678503931917885</v>
      </c>
    </row>
    <row r="569" spans="1:11" x14ac:dyDescent="0.35">
      <c r="A569">
        <v>568</v>
      </c>
      <c r="B569">
        <v>568</v>
      </c>
      <c r="C569">
        <v>1500</v>
      </c>
      <c r="D569" t="s">
        <v>11</v>
      </c>
      <c r="E569">
        <v>364.749340369393</v>
      </c>
      <c r="F569">
        <v>483.66336860227699</v>
      </c>
      <c r="G569">
        <v>2.24944944715131E-2</v>
      </c>
      <c r="H569">
        <v>7.3085917019541702E-2</v>
      </c>
      <c r="I569">
        <v>0.30778151781961599</v>
      </c>
      <c r="J569">
        <v>0.75824858600674205</v>
      </c>
      <c r="K569" s="6">
        <f t="shared" si="8"/>
        <v>0.20475640883319277</v>
      </c>
    </row>
    <row r="570" spans="1:11" x14ac:dyDescent="0.35">
      <c r="A570">
        <v>569</v>
      </c>
      <c r="B570">
        <v>569</v>
      </c>
      <c r="C570">
        <v>2000</v>
      </c>
      <c r="D570" t="s">
        <v>11</v>
      </c>
      <c r="E570">
        <v>379.66140177689999</v>
      </c>
      <c r="F570">
        <v>526.65223060084702</v>
      </c>
      <c r="G570">
        <v>-3.9388006973170797E-2</v>
      </c>
      <c r="H570">
        <v>6.1765351462479398E-2</v>
      </c>
      <c r="I570">
        <v>-0.63770392364880901</v>
      </c>
      <c r="J570">
        <v>0.52366643094369503</v>
      </c>
      <c r="K570" s="6">
        <f t="shared" si="8"/>
        <v>0.17304088217701036</v>
      </c>
    </row>
    <row r="571" spans="1:11" x14ac:dyDescent="0.35">
      <c r="A571">
        <v>570</v>
      </c>
      <c r="B571">
        <v>570</v>
      </c>
      <c r="C571">
        <v>2500</v>
      </c>
      <c r="D571" t="s">
        <v>11</v>
      </c>
      <c r="E571">
        <v>359.23284313725497</v>
      </c>
      <c r="F571">
        <v>458.83030266011298</v>
      </c>
      <c r="G571">
        <v>5.6538658745863599E-2</v>
      </c>
      <c r="H571">
        <v>5.4963412384800403E-2</v>
      </c>
      <c r="I571">
        <v>1.0286599083411101</v>
      </c>
      <c r="J571">
        <v>0.303639515657461</v>
      </c>
      <c r="K571" s="6">
        <f t="shared" si="8"/>
        <v>0.15398467168607105</v>
      </c>
    </row>
    <row r="572" spans="1:11" x14ac:dyDescent="0.35">
      <c r="A572">
        <v>571</v>
      </c>
      <c r="B572">
        <v>571</v>
      </c>
      <c r="C572">
        <v>3000</v>
      </c>
      <c r="D572" t="s">
        <v>11</v>
      </c>
      <c r="E572">
        <v>367.88251181634001</v>
      </c>
      <c r="F572">
        <v>486.00590417185498</v>
      </c>
      <c r="G572">
        <v>-7.3289319743782997E-3</v>
      </c>
      <c r="H572">
        <v>4.9768295986005497E-2</v>
      </c>
      <c r="I572">
        <v>-0.14726105905733899</v>
      </c>
      <c r="J572">
        <v>0.88292596769421705</v>
      </c>
      <c r="K572" s="6">
        <f t="shared" si="8"/>
        <v>0.13943011150995321</v>
      </c>
    </row>
    <row r="573" spans="1:11" x14ac:dyDescent="0.35">
      <c r="A573">
        <v>572</v>
      </c>
      <c r="B573">
        <v>572</v>
      </c>
      <c r="C573">
        <v>3500</v>
      </c>
      <c r="D573" t="s">
        <v>11</v>
      </c>
      <c r="E573">
        <v>377.54519613416699</v>
      </c>
      <c r="F573">
        <v>528.210415978073</v>
      </c>
      <c r="G573">
        <v>-3.7636871930098001E-2</v>
      </c>
      <c r="H573">
        <v>4.6139046034317399E-2</v>
      </c>
      <c r="I573">
        <v>-0.81572713709998201</v>
      </c>
      <c r="J573">
        <v>0.41465621457976398</v>
      </c>
      <c r="K573" s="6">
        <f t="shared" si="8"/>
        <v>0.12926245928405311</v>
      </c>
    </row>
    <row r="574" spans="1:11" x14ac:dyDescent="0.35">
      <c r="A574">
        <v>573</v>
      </c>
      <c r="B574">
        <v>573</v>
      </c>
      <c r="C574">
        <v>4000</v>
      </c>
      <c r="D574" t="s">
        <v>11</v>
      </c>
      <c r="E574">
        <v>373.61416542843</v>
      </c>
      <c r="F574">
        <v>533.52525752180702</v>
      </c>
      <c r="G574">
        <v>-2.30248199039031E-2</v>
      </c>
      <c r="H574">
        <v>4.2526955271770098E-2</v>
      </c>
      <c r="I574">
        <v>-0.541417079044622</v>
      </c>
      <c r="J574">
        <v>0.58822013784893201</v>
      </c>
      <c r="K574" s="6">
        <f t="shared" si="8"/>
        <v>0.11914287998506204</v>
      </c>
    </row>
    <row r="575" spans="1:11" x14ac:dyDescent="0.35">
      <c r="A575">
        <v>574</v>
      </c>
      <c r="B575">
        <v>574</v>
      </c>
      <c r="C575">
        <v>4500</v>
      </c>
      <c r="D575" t="s">
        <v>11</v>
      </c>
      <c r="E575">
        <v>372.81456657730098</v>
      </c>
      <c r="F575">
        <v>496.01715259265802</v>
      </c>
      <c r="G575">
        <v>-3.16388084462794E-2</v>
      </c>
      <c r="H575">
        <v>4.0198346848554098E-2</v>
      </c>
      <c r="I575">
        <v>-0.78706740268393405</v>
      </c>
      <c r="J575">
        <v>0.43124241030435401</v>
      </c>
      <c r="K575" s="6">
        <f t="shared" si="8"/>
        <v>0.11261908555570645</v>
      </c>
    </row>
    <row r="576" spans="1:11" x14ac:dyDescent="0.35">
      <c r="A576">
        <v>575</v>
      </c>
      <c r="B576">
        <v>575</v>
      </c>
      <c r="C576">
        <v>5000</v>
      </c>
      <c r="D576" t="s">
        <v>11</v>
      </c>
      <c r="E576">
        <v>374.25068439577598</v>
      </c>
      <c r="F576">
        <v>511.67561365734502</v>
      </c>
      <c r="G576">
        <v>-6.1124910970290797E-2</v>
      </c>
      <c r="H576">
        <v>3.76230588688128E-2</v>
      </c>
      <c r="I576">
        <v>-1.6246661703777501</v>
      </c>
      <c r="J576">
        <v>0.10423370938561501</v>
      </c>
      <c r="K576" s="6">
        <f t="shared" si="8"/>
        <v>0.10540419738098292</v>
      </c>
    </row>
    <row r="577" spans="1:11" x14ac:dyDescent="0.35">
      <c r="A577">
        <v>576</v>
      </c>
      <c r="B577">
        <v>576</v>
      </c>
      <c r="C577">
        <v>5500</v>
      </c>
      <c r="D577" t="s">
        <v>11</v>
      </c>
      <c r="E577">
        <v>360.35833940276802</v>
      </c>
      <c r="F577">
        <v>467.35197588145701</v>
      </c>
      <c r="G577">
        <v>4.15462729048066E-2</v>
      </c>
      <c r="H577">
        <v>3.6016484414845298E-2</v>
      </c>
      <c r="I577">
        <v>1.15353493212353</v>
      </c>
      <c r="J577">
        <v>0.24869088815405699</v>
      </c>
      <c r="K577" s="6">
        <f t="shared" si="8"/>
        <v>0.10090324248936437</v>
      </c>
    </row>
    <row r="578" spans="1:11" x14ac:dyDescent="0.35">
      <c r="A578">
        <v>577</v>
      </c>
      <c r="B578">
        <v>577</v>
      </c>
      <c r="C578">
        <v>6000</v>
      </c>
      <c r="D578" t="s">
        <v>11</v>
      </c>
      <c r="E578">
        <v>374.02138690862</v>
      </c>
      <c r="F578">
        <v>514.97411890356898</v>
      </c>
      <c r="G578">
        <v>-8.6734691724602003E-3</v>
      </c>
      <c r="H578">
        <v>3.4758386697262597E-2</v>
      </c>
      <c r="I578">
        <v>-0.24953601120800201</v>
      </c>
      <c r="J578">
        <v>0.802946188777939</v>
      </c>
      <c r="K578" s="6">
        <f t="shared" si="8"/>
        <v>9.7378574795250444E-2</v>
      </c>
    </row>
    <row r="579" spans="1:11" x14ac:dyDescent="0.35">
      <c r="A579">
        <v>578</v>
      </c>
      <c r="B579">
        <v>578</v>
      </c>
      <c r="C579">
        <v>6500</v>
      </c>
      <c r="D579" t="s">
        <v>11</v>
      </c>
      <c r="E579">
        <v>364.75762242069601</v>
      </c>
      <c r="F579">
        <v>457.872423236896</v>
      </c>
      <c r="G579">
        <v>4.4081733316472201E-2</v>
      </c>
      <c r="H579">
        <v>3.3150199240897099E-2</v>
      </c>
      <c r="I579">
        <v>1.3297577186833001</v>
      </c>
      <c r="J579">
        <v>0.183598110872914</v>
      </c>
      <c r="K579" s="6">
        <f t="shared" ref="K579:K642" si="9">H579*2.801585</f>
        <v>9.2873100940308706E-2</v>
      </c>
    </row>
    <row r="580" spans="1:11" x14ac:dyDescent="0.35">
      <c r="A580">
        <v>579</v>
      </c>
      <c r="B580">
        <v>579</v>
      </c>
      <c r="C580">
        <v>7000</v>
      </c>
      <c r="D580" t="s">
        <v>11</v>
      </c>
      <c r="E580">
        <v>376.35786516853898</v>
      </c>
      <c r="F580">
        <v>516.26165579164899</v>
      </c>
      <c r="G580">
        <v>-2.6138295743647601E-2</v>
      </c>
      <c r="H580">
        <v>3.1810126310461602E-2</v>
      </c>
      <c r="I580">
        <v>-0.82169732645957005</v>
      </c>
      <c r="J580">
        <v>0.41124918117326598</v>
      </c>
      <c r="K580" s="6">
        <f t="shared" si="9"/>
        <v>8.9118772719494574E-2</v>
      </c>
    </row>
    <row r="581" spans="1:11" x14ac:dyDescent="0.35">
      <c r="A581">
        <v>580</v>
      </c>
      <c r="B581">
        <v>580</v>
      </c>
      <c r="C581">
        <v>7500</v>
      </c>
      <c r="D581" t="s">
        <v>11</v>
      </c>
      <c r="E581">
        <v>373.81304926764301</v>
      </c>
      <c r="F581">
        <v>478.02784974937498</v>
      </c>
      <c r="G581">
        <v>-2.17442574786792E-2</v>
      </c>
      <c r="H581">
        <v>3.0780723888903901E-2</v>
      </c>
      <c r="I581">
        <v>-0.70642449986427203</v>
      </c>
      <c r="J581">
        <v>0.47992418936061498</v>
      </c>
      <c r="K581" s="6">
        <f t="shared" si="9"/>
        <v>8.6234814336294846E-2</v>
      </c>
    </row>
    <row r="582" spans="1:11" x14ac:dyDescent="0.35">
      <c r="A582">
        <v>581</v>
      </c>
      <c r="B582">
        <v>581</v>
      </c>
      <c r="C582">
        <v>8000</v>
      </c>
      <c r="D582" t="s">
        <v>11</v>
      </c>
      <c r="E582">
        <v>371.36426456071098</v>
      </c>
      <c r="F582">
        <v>493.81269387723302</v>
      </c>
      <c r="G582">
        <v>-2.4591994603054201E-3</v>
      </c>
      <c r="H582">
        <v>2.9909436754779101E-2</v>
      </c>
      <c r="I582">
        <v>-8.2221523610352801E-2</v>
      </c>
      <c r="J582">
        <v>0.93447055802660794</v>
      </c>
      <c r="K582" s="6">
        <f t="shared" si="9"/>
        <v>8.3793829370637812E-2</v>
      </c>
    </row>
    <row r="583" spans="1:11" x14ac:dyDescent="0.35">
      <c r="A583">
        <v>582</v>
      </c>
      <c r="B583">
        <v>582</v>
      </c>
      <c r="C583">
        <v>8500</v>
      </c>
      <c r="D583" t="s">
        <v>11</v>
      </c>
      <c r="E583">
        <v>371.72270081490097</v>
      </c>
      <c r="F583">
        <v>510.54835647394498</v>
      </c>
      <c r="G583">
        <v>-1.7268871847525701E-3</v>
      </c>
      <c r="H583">
        <v>2.90310191223251E-2</v>
      </c>
      <c r="I583">
        <v>-5.9484208166311697E-2</v>
      </c>
      <c r="J583">
        <v>0.95256644326106299</v>
      </c>
      <c r="K583" s="6">
        <f t="shared" si="9"/>
        <v>8.1332867707819168E-2</v>
      </c>
    </row>
    <row r="584" spans="1:11" x14ac:dyDescent="0.35">
      <c r="A584">
        <v>583</v>
      </c>
      <c r="B584">
        <v>583</v>
      </c>
      <c r="C584">
        <v>9000</v>
      </c>
      <c r="D584" t="s">
        <v>11</v>
      </c>
      <c r="E584">
        <v>373.99780123131001</v>
      </c>
      <c r="F584">
        <v>479.10475995237198</v>
      </c>
      <c r="G584">
        <v>-2.5686392781726301E-2</v>
      </c>
      <c r="H584">
        <v>2.8219263536144401E-2</v>
      </c>
      <c r="I584">
        <v>-0.91024320138001302</v>
      </c>
      <c r="J584">
        <v>0.36269426538500499</v>
      </c>
      <c r="K584" s="6">
        <f t="shared" si="9"/>
        <v>7.9058665433909117E-2</v>
      </c>
    </row>
    <row r="585" spans="1:11" x14ac:dyDescent="0.35">
      <c r="A585">
        <v>584</v>
      </c>
      <c r="B585">
        <v>584</v>
      </c>
      <c r="C585">
        <v>9500</v>
      </c>
      <c r="D585" t="s">
        <v>11</v>
      </c>
      <c r="E585">
        <v>358.123956326268</v>
      </c>
      <c r="F585">
        <v>462.720766970905</v>
      </c>
      <c r="G585">
        <v>4.1195454592224998E-2</v>
      </c>
      <c r="H585">
        <v>2.73095806656573E-2</v>
      </c>
      <c r="I585">
        <v>1.50846163097736</v>
      </c>
      <c r="J585">
        <v>0.13143641961601699</v>
      </c>
      <c r="K585" s="6">
        <f t="shared" si="9"/>
        <v>7.6510111549195514E-2</v>
      </c>
    </row>
    <row r="586" spans="1:11" x14ac:dyDescent="0.35">
      <c r="A586">
        <v>585</v>
      </c>
      <c r="B586">
        <v>585</v>
      </c>
      <c r="C586">
        <v>10000</v>
      </c>
      <c r="D586" t="s">
        <v>11</v>
      </c>
      <c r="E586">
        <v>364.97384584901903</v>
      </c>
      <c r="F586">
        <v>488.91465182712102</v>
      </c>
      <c r="G586">
        <v>-8.7798936206768998E-4</v>
      </c>
      <c r="H586">
        <v>2.6777674825473899E-2</v>
      </c>
      <c r="I586">
        <v>-3.2788110535738102E-2</v>
      </c>
      <c r="J586">
        <v>0.97384355953423996</v>
      </c>
      <c r="K586" s="6">
        <f t="shared" si="9"/>
        <v>7.5019932125925295E-2</v>
      </c>
    </row>
    <row r="587" spans="1:11" x14ac:dyDescent="0.35">
      <c r="A587">
        <v>586</v>
      </c>
      <c r="B587">
        <v>586</v>
      </c>
      <c r="C587">
        <v>10500</v>
      </c>
      <c r="D587" t="s">
        <v>11</v>
      </c>
      <c r="E587">
        <v>369.832009300523</v>
      </c>
      <c r="F587">
        <v>500.32157863215701</v>
      </c>
      <c r="G587">
        <v>-2.6450697871572299E-2</v>
      </c>
      <c r="H587">
        <v>2.6013194299937401E-2</v>
      </c>
      <c r="I587">
        <v>-1.0168185254986499</v>
      </c>
      <c r="J587">
        <v>0.30923976756326199</v>
      </c>
      <c r="K587" s="6">
        <f t="shared" si="9"/>
        <v>7.2878174952790128E-2</v>
      </c>
    </row>
    <row r="588" spans="1:11" x14ac:dyDescent="0.35">
      <c r="A588">
        <v>587</v>
      </c>
      <c r="B588">
        <v>587</v>
      </c>
      <c r="C588">
        <v>11000</v>
      </c>
      <c r="D588" t="s">
        <v>11</v>
      </c>
      <c r="E588">
        <v>362.53650503202198</v>
      </c>
      <c r="F588">
        <v>482.76896496137402</v>
      </c>
      <c r="G588">
        <v>1.7571094908731402E-2</v>
      </c>
      <c r="H588">
        <v>2.5289924501607899E-2</v>
      </c>
      <c r="I588">
        <v>0.69478637263682697</v>
      </c>
      <c r="J588">
        <v>0.48718918955301999</v>
      </c>
      <c r="K588" s="6">
        <f t="shared" si="9"/>
        <v>7.0851873134837179E-2</v>
      </c>
    </row>
    <row r="589" spans="1:11" x14ac:dyDescent="0.35">
      <c r="A589">
        <v>588</v>
      </c>
      <c r="B589">
        <v>588</v>
      </c>
      <c r="C589">
        <v>11500</v>
      </c>
      <c r="D589" t="s">
        <v>11</v>
      </c>
      <c r="E589">
        <v>366.19441571871801</v>
      </c>
      <c r="F589">
        <v>484.38615273106802</v>
      </c>
      <c r="G589">
        <v>4.6748284165591403E-3</v>
      </c>
      <c r="H589">
        <v>2.46285971763218E-2</v>
      </c>
      <c r="I589">
        <v>0.18981302033124201</v>
      </c>
      <c r="J589">
        <v>0.84945565263363998</v>
      </c>
      <c r="K589" s="6">
        <f t="shared" si="9"/>
        <v>6.8999108420225511E-2</v>
      </c>
    </row>
    <row r="590" spans="1:11" x14ac:dyDescent="0.35">
      <c r="A590">
        <v>589</v>
      </c>
      <c r="B590">
        <v>589</v>
      </c>
      <c r="C590">
        <v>12000</v>
      </c>
      <c r="D590" t="s">
        <v>11</v>
      </c>
      <c r="E590">
        <v>370.57791659631903</v>
      </c>
      <c r="F590">
        <v>484.20940635732399</v>
      </c>
      <c r="G590">
        <v>-1.1189804910803401E-2</v>
      </c>
      <c r="H590">
        <v>2.4181607699008002E-2</v>
      </c>
      <c r="I590">
        <v>-0.46274032107726099</v>
      </c>
      <c r="J590">
        <v>0.643550512898168</v>
      </c>
      <c r="K590" s="6">
        <f t="shared" si="9"/>
        <v>6.7746829405425341E-2</v>
      </c>
    </row>
    <row r="591" spans="1:11" x14ac:dyDescent="0.35">
      <c r="A591">
        <v>590</v>
      </c>
      <c r="B591">
        <v>590</v>
      </c>
      <c r="C591">
        <v>12500</v>
      </c>
      <c r="D591" t="s">
        <v>11</v>
      </c>
      <c r="E591">
        <v>369.65821775864799</v>
      </c>
      <c r="F591">
        <v>497.71765333292501</v>
      </c>
      <c r="G591">
        <v>-1.52023917577912E-3</v>
      </c>
      <c r="H591">
        <v>2.3926177006433499E-2</v>
      </c>
      <c r="I591">
        <v>-6.3538741495155995E-2</v>
      </c>
      <c r="J591">
        <v>0.94933751030081903</v>
      </c>
      <c r="K591" s="6">
        <f t="shared" si="9"/>
        <v>6.7031218608569004E-2</v>
      </c>
    </row>
    <row r="592" spans="1:11" x14ac:dyDescent="0.35">
      <c r="A592">
        <v>591</v>
      </c>
      <c r="B592">
        <v>591</v>
      </c>
      <c r="C592">
        <v>13000</v>
      </c>
      <c r="D592" t="s">
        <v>11</v>
      </c>
      <c r="E592">
        <v>375.92147876565798</v>
      </c>
      <c r="F592">
        <v>498.03999882934301</v>
      </c>
      <c r="G592">
        <v>-2.9400160701135099E-2</v>
      </c>
      <c r="H592">
        <v>2.34152538971911E-2</v>
      </c>
      <c r="I592">
        <v>-1.2555986294328401</v>
      </c>
      <c r="J592">
        <v>0.20926152854628799</v>
      </c>
      <c r="K592" s="6">
        <f t="shared" si="9"/>
        <v>6.5599824089562137E-2</v>
      </c>
    </row>
    <row r="593" spans="1:11" x14ac:dyDescent="0.35">
      <c r="A593">
        <v>592</v>
      </c>
      <c r="B593">
        <v>592</v>
      </c>
      <c r="C593">
        <v>13500</v>
      </c>
      <c r="D593" t="s">
        <v>11</v>
      </c>
      <c r="E593">
        <v>378.345686332642</v>
      </c>
      <c r="F593">
        <v>508.26047906814</v>
      </c>
      <c r="G593">
        <v>-4.1962776944197498E-2</v>
      </c>
      <c r="H593">
        <v>2.28733836080048E-2</v>
      </c>
      <c r="I593">
        <v>-1.83456797049965</v>
      </c>
      <c r="J593">
        <v>6.65697280809735E-2</v>
      </c>
      <c r="K593" s="6">
        <f t="shared" si="9"/>
        <v>6.4081728415432138E-2</v>
      </c>
    </row>
    <row r="594" spans="1:11" x14ac:dyDescent="0.35">
      <c r="A594">
        <v>593</v>
      </c>
      <c r="B594">
        <v>593</v>
      </c>
      <c r="C594">
        <v>14000</v>
      </c>
      <c r="D594" t="s">
        <v>11</v>
      </c>
      <c r="E594">
        <v>372.825356125356</v>
      </c>
      <c r="F594">
        <v>493.95701328270002</v>
      </c>
      <c r="G594">
        <v>-7.2338927807663904E-3</v>
      </c>
      <c r="H594">
        <v>2.2561371838204201E-2</v>
      </c>
      <c r="I594">
        <v>-0.32063177862779302</v>
      </c>
      <c r="J594">
        <v>0.74848945222265595</v>
      </c>
      <c r="K594" s="6">
        <f t="shared" si="9"/>
        <v>6.3207600921335316E-2</v>
      </c>
    </row>
    <row r="595" spans="1:11" x14ac:dyDescent="0.35">
      <c r="A595">
        <v>594</v>
      </c>
      <c r="B595">
        <v>594</v>
      </c>
      <c r="C595">
        <v>1000</v>
      </c>
      <c r="D595" t="s">
        <v>11</v>
      </c>
      <c r="E595">
        <v>402.13387423935097</v>
      </c>
      <c r="F595">
        <v>680.69677233140999</v>
      </c>
      <c r="G595">
        <v>-0.18323758474385499</v>
      </c>
      <c r="H595">
        <v>9.3249992363678702E-2</v>
      </c>
      <c r="I595">
        <v>-1.9650144745237199</v>
      </c>
      <c r="J595">
        <v>4.9412562278862003E-2</v>
      </c>
      <c r="K595" s="6">
        <f t="shared" si="9"/>
        <v>0.26124777985619679</v>
      </c>
    </row>
    <row r="596" spans="1:11" x14ac:dyDescent="0.35">
      <c r="A596">
        <v>595</v>
      </c>
      <c r="B596">
        <v>595</v>
      </c>
      <c r="C596">
        <v>1500</v>
      </c>
      <c r="D596" t="s">
        <v>11</v>
      </c>
      <c r="E596">
        <v>366.89536423841099</v>
      </c>
      <c r="F596">
        <v>504.89625314253101</v>
      </c>
      <c r="G596">
        <v>1.0691110416474799E-2</v>
      </c>
      <c r="H596">
        <v>7.3098864545753595E-2</v>
      </c>
      <c r="I596">
        <v>0.146255492242059</v>
      </c>
      <c r="J596">
        <v>0.88371970000728295</v>
      </c>
      <c r="K596" s="6">
        <f t="shared" si="9"/>
        <v>0.20479268242841511</v>
      </c>
    </row>
    <row r="597" spans="1:11" x14ac:dyDescent="0.35">
      <c r="A597">
        <v>596</v>
      </c>
      <c r="B597">
        <v>596</v>
      </c>
      <c r="C597">
        <v>2000</v>
      </c>
      <c r="D597" t="s">
        <v>11</v>
      </c>
      <c r="E597">
        <v>375.60756972111602</v>
      </c>
      <c r="F597">
        <v>477.38949213495198</v>
      </c>
      <c r="G597">
        <v>-1.7160711718717799E-2</v>
      </c>
      <c r="H597">
        <v>6.1916741355517897E-2</v>
      </c>
      <c r="I597">
        <v>-0.27715786301128398</v>
      </c>
      <c r="J597">
        <v>0.78165889307371905</v>
      </c>
      <c r="K597" s="6">
        <f t="shared" si="9"/>
        <v>0.17346501383049862</v>
      </c>
    </row>
    <row r="598" spans="1:11" x14ac:dyDescent="0.35">
      <c r="A598">
        <v>597</v>
      </c>
      <c r="B598">
        <v>597</v>
      </c>
      <c r="C598">
        <v>2500</v>
      </c>
      <c r="D598" t="s">
        <v>11</v>
      </c>
      <c r="E598">
        <v>350.65086887835702</v>
      </c>
      <c r="F598">
        <v>436.68428885142998</v>
      </c>
      <c r="G598">
        <v>0.105443082944236</v>
      </c>
      <c r="H598">
        <v>5.48669921495697E-2</v>
      </c>
      <c r="I598">
        <v>1.9217944854129101</v>
      </c>
      <c r="J598">
        <v>5.4631622505189298E-2</v>
      </c>
      <c r="K598" s="6">
        <f t="shared" si="9"/>
        <v>0.15371454220135225</v>
      </c>
    </row>
    <row r="599" spans="1:11" x14ac:dyDescent="0.35">
      <c r="A599">
        <v>598</v>
      </c>
      <c r="B599">
        <v>598</v>
      </c>
      <c r="C599">
        <v>3000</v>
      </c>
      <c r="D599" t="s">
        <v>11</v>
      </c>
      <c r="E599">
        <v>348.40663058186698</v>
      </c>
      <c r="F599">
        <v>434.18824765787002</v>
      </c>
      <c r="G599">
        <v>9.7569950672179107E-2</v>
      </c>
      <c r="H599">
        <v>4.9248839582006099E-2</v>
      </c>
      <c r="I599">
        <v>1.98116242941545</v>
      </c>
      <c r="J599">
        <v>4.75730610392405E-2</v>
      </c>
      <c r="K599" s="6">
        <f t="shared" si="9"/>
        <v>0.13797481024035457</v>
      </c>
    </row>
    <row r="600" spans="1:11" x14ac:dyDescent="0.35">
      <c r="A600">
        <v>599</v>
      </c>
      <c r="B600">
        <v>599</v>
      </c>
      <c r="C600">
        <v>3500</v>
      </c>
      <c r="D600" t="s">
        <v>11</v>
      </c>
      <c r="E600">
        <v>389.08975834292301</v>
      </c>
      <c r="F600">
        <v>507.66583826151401</v>
      </c>
      <c r="G600">
        <v>-9.9104042017557403E-2</v>
      </c>
      <c r="H600">
        <v>4.63047194212775E-2</v>
      </c>
      <c r="I600">
        <v>-2.1402579101260701</v>
      </c>
      <c r="J600">
        <v>3.2333929460776199E-2</v>
      </c>
      <c r="K600" s="6">
        <f t="shared" si="9"/>
        <v>0.12972660735985975</v>
      </c>
    </row>
    <row r="601" spans="1:11" x14ac:dyDescent="0.35">
      <c r="A601">
        <v>600</v>
      </c>
      <c r="B601">
        <v>600</v>
      </c>
      <c r="C601">
        <v>4000</v>
      </c>
      <c r="D601" t="s">
        <v>11</v>
      </c>
      <c r="E601">
        <v>370.66336142786298</v>
      </c>
      <c r="F601">
        <v>468.28805514392599</v>
      </c>
      <c r="G601">
        <v>-6.8852415837605497E-3</v>
      </c>
      <c r="H601">
        <v>4.2706861148356902E-2</v>
      </c>
      <c r="I601">
        <v>-0.16122097008820899</v>
      </c>
      <c r="J601">
        <v>0.87191936542023196</v>
      </c>
      <c r="K601" s="6">
        <f t="shared" si="9"/>
        <v>0.11964690159031947</v>
      </c>
    </row>
    <row r="602" spans="1:11" x14ac:dyDescent="0.35">
      <c r="A602">
        <v>601</v>
      </c>
      <c r="B602">
        <v>601</v>
      </c>
      <c r="C602">
        <v>4500</v>
      </c>
      <c r="D602" t="s">
        <v>11</v>
      </c>
      <c r="E602">
        <v>360.47680070702597</v>
      </c>
      <c r="F602">
        <v>519.15844068118599</v>
      </c>
      <c r="G602">
        <v>3.5638203530060399E-2</v>
      </c>
      <c r="H602">
        <v>4.0252163633510203E-2</v>
      </c>
      <c r="I602">
        <v>0.88537361257250302</v>
      </c>
      <c r="J602">
        <v>0.37595515941184199</v>
      </c>
      <c r="K602" s="6">
        <f t="shared" si="9"/>
        <v>0.11276985785318769</v>
      </c>
    </row>
    <row r="603" spans="1:11" x14ac:dyDescent="0.35">
      <c r="A603">
        <v>602</v>
      </c>
      <c r="B603">
        <v>602</v>
      </c>
      <c r="C603">
        <v>5000</v>
      </c>
      <c r="D603" t="s">
        <v>11</v>
      </c>
      <c r="E603">
        <v>351.013988808953</v>
      </c>
      <c r="F603">
        <v>468.95416599091698</v>
      </c>
      <c r="G603">
        <v>6.8290236298197804E-2</v>
      </c>
      <c r="H603">
        <v>3.7723524356433003E-2</v>
      </c>
      <c r="I603">
        <v>1.81028250841447</v>
      </c>
      <c r="J603">
        <v>7.0251988153858996E-2</v>
      </c>
      <c r="K603" s="6">
        <f t="shared" si="9"/>
        <v>0.10568565998411736</v>
      </c>
    </row>
    <row r="604" spans="1:11" x14ac:dyDescent="0.35">
      <c r="A604">
        <v>603</v>
      </c>
      <c r="B604">
        <v>603</v>
      </c>
      <c r="C604">
        <v>5500</v>
      </c>
      <c r="D604" t="s">
        <v>11</v>
      </c>
      <c r="E604">
        <v>361.31720625682101</v>
      </c>
      <c r="F604">
        <v>477.03680422958098</v>
      </c>
      <c r="G604">
        <v>3.63794382059889E-2</v>
      </c>
      <c r="H604">
        <v>3.60485287604808E-2</v>
      </c>
      <c r="I604">
        <v>1.0091795548081</v>
      </c>
      <c r="J604">
        <v>0.31288852999766598</v>
      </c>
      <c r="K604" s="6">
        <f t="shared" si="9"/>
        <v>0.10099301744743161</v>
      </c>
    </row>
    <row r="605" spans="1:11" x14ac:dyDescent="0.35">
      <c r="A605">
        <v>604</v>
      </c>
      <c r="B605">
        <v>604</v>
      </c>
      <c r="C605">
        <v>6000</v>
      </c>
      <c r="D605" t="s">
        <v>11</v>
      </c>
      <c r="E605">
        <v>366.852548751283</v>
      </c>
      <c r="F605">
        <v>473.11179422182801</v>
      </c>
      <c r="G605">
        <v>2.93321851906558E-2</v>
      </c>
      <c r="H605">
        <v>3.4691501876200397E-2</v>
      </c>
      <c r="I605">
        <v>0.845514999475383</v>
      </c>
      <c r="J605">
        <v>0.39782336159806297</v>
      </c>
      <c r="K605" s="6">
        <f t="shared" si="9"/>
        <v>9.7191191283834896E-2</v>
      </c>
    </row>
    <row r="606" spans="1:11" x14ac:dyDescent="0.35">
      <c r="A606">
        <v>605</v>
      </c>
      <c r="B606">
        <v>605</v>
      </c>
      <c r="C606">
        <v>6500</v>
      </c>
      <c r="D606" t="s">
        <v>11</v>
      </c>
      <c r="E606">
        <v>373.51143641354099</v>
      </c>
      <c r="F606">
        <v>502.66045198945699</v>
      </c>
      <c r="G606">
        <v>-2.8503660253303602E-3</v>
      </c>
      <c r="H606">
        <v>3.3250372414253798E-2</v>
      </c>
      <c r="I606">
        <v>-8.5724333845609998E-2</v>
      </c>
      <c r="J606">
        <v>0.93168555771845396</v>
      </c>
      <c r="K606" s="6">
        <f t="shared" si="9"/>
        <v>9.315374460018723E-2</v>
      </c>
    </row>
    <row r="607" spans="1:11" x14ac:dyDescent="0.35">
      <c r="A607">
        <v>606</v>
      </c>
      <c r="B607">
        <v>606</v>
      </c>
      <c r="C607">
        <v>7000</v>
      </c>
      <c r="D607" t="s">
        <v>11</v>
      </c>
      <c r="E607">
        <v>366.90288184437998</v>
      </c>
      <c r="F607">
        <v>491.689048075568</v>
      </c>
      <c r="G607">
        <v>2.49966218714293E-2</v>
      </c>
      <c r="H607">
        <v>3.18737338339374E-2</v>
      </c>
      <c r="I607">
        <v>0.78423889719547701</v>
      </c>
      <c r="J607">
        <v>0.43289994530597498</v>
      </c>
      <c r="K607" s="6">
        <f t="shared" si="9"/>
        <v>8.9296974603151516E-2</v>
      </c>
    </row>
    <row r="608" spans="1:11" x14ac:dyDescent="0.35">
      <c r="A608">
        <v>607</v>
      </c>
      <c r="B608">
        <v>607</v>
      </c>
      <c r="C608">
        <v>7500</v>
      </c>
      <c r="D608" t="s">
        <v>11</v>
      </c>
      <c r="E608">
        <v>370.55759510508102</v>
      </c>
      <c r="F608">
        <v>484.69469475225799</v>
      </c>
      <c r="G608">
        <v>-4.1173471252747597E-3</v>
      </c>
      <c r="H608">
        <v>3.0758617928979499E-2</v>
      </c>
      <c r="I608">
        <v>-0.13385995218580901</v>
      </c>
      <c r="J608">
        <v>0.89351331873301199</v>
      </c>
      <c r="K608" s="6">
        <f t="shared" si="9"/>
        <v>8.6172882610560039E-2</v>
      </c>
    </row>
    <row r="609" spans="1:11" x14ac:dyDescent="0.35">
      <c r="A609">
        <v>608</v>
      </c>
      <c r="B609">
        <v>608</v>
      </c>
      <c r="C609">
        <v>8000</v>
      </c>
      <c r="D609" t="s">
        <v>11</v>
      </c>
      <c r="E609">
        <v>368.25174302788798</v>
      </c>
      <c r="F609">
        <v>502.89097885094702</v>
      </c>
      <c r="G609">
        <v>1.44132738302842E-2</v>
      </c>
      <c r="H609">
        <v>2.9905316265581901E-2</v>
      </c>
      <c r="I609">
        <v>0.48196359812026102</v>
      </c>
      <c r="J609">
        <v>0.62983180571290398</v>
      </c>
      <c r="K609" s="6">
        <f t="shared" si="9"/>
        <v>8.3782285469910275E-2</v>
      </c>
    </row>
    <row r="610" spans="1:11" x14ac:dyDescent="0.35">
      <c r="A610">
        <v>609</v>
      </c>
      <c r="B610">
        <v>609</v>
      </c>
      <c r="C610">
        <v>8500</v>
      </c>
      <c r="D610" t="s">
        <v>11</v>
      </c>
      <c r="E610">
        <v>376.53341232227501</v>
      </c>
      <c r="F610">
        <v>500.169628085488</v>
      </c>
      <c r="G610">
        <v>-2.7419540389866302E-2</v>
      </c>
      <c r="H610">
        <v>2.90465515536554E-2</v>
      </c>
      <c r="I610">
        <v>-0.94398608176314402</v>
      </c>
      <c r="J610">
        <v>0.34517676072917203</v>
      </c>
      <c r="K610" s="6">
        <f t="shared" si="9"/>
        <v>8.1376383134447672E-2</v>
      </c>
    </row>
    <row r="611" spans="1:11" x14ac:dyDescent="0.35">
      <c r="A611">
        <v>610</v>
      </c>
      <c r="B611">
        <v>610</v>
      </c>
      <c r="C611">
        <v>9000</v>
      </c>
      <c r="D611" t="s">
        <v>11</v>
      </c>
      <c r="E611">
        <v>375.13100533807801</v>
      </c>
      <c r="F611">
        <v>505.18053025705802</v>
      </c>
      <c r="G611">
        <v>-3.1518615479536001E-2</v>
      </c>
      <c r="H611">
        <v>2.81536246609508E-2</v>
      </c>
      <c r="I611">
        <v>-1.1195224721189301</v>
      </c>
      <c r="J611">
        <v>0.26291730942097402</v>
      </c>
      <c r="K611" s="6">
        <f t="shared" si="9"/>
        <v>7.8874772545749858E-2</v>
      </c>
    </row>
    <row r="612" spans="1:11" x14ac:dyDescent="0.35">
      <c r="A612">
        <v>611</v>
      </c>
      <c r="B612">
        <v>611</v>
      </c>
      <c r="C612">
        <v>9500</v>
      </c>
      <c r="D612" t="s">
        <v>11</v>
      </c>
      <c r="E612">
        <v>365.31761994552699</v>
      </c>
      <c r="F612">
        <v>511.97975465038598</v>
      </c>
      <c r="G612">
        <v>2.53931776449996E-3</v>
      </c>
      <c r="H612">
        <v>2.7363827979148499E-2</v>
      </c>
      <c r="I612">
        <v>9.2798338245472803E-2</v>
      </c>
      <c r="J612">
        <v>0.92606377120352601</v>
      </c>
      <c r="K612" s="6">
        <f t="shared" si="9"/>
        <v>7.6662090008962749E-2</v>
      </c>
    </row>
    <row r="613" spans="1:11" x14ac:dyDescent="0.35">
      <c r="A613">
        <v>612</v>
      </c>
      <c r="B613">
        <v>612</v>
      </c>
      <c r="C613">
        <v>10000</v>
      </c>
      <c r="D613" t="s">
        <v>11</v>
      </c>
      <c r="E613">
        <v>364.122376237624</v>
      </c>
      <c r="F613">
        <v>476.38630099749099</v>
      </c>
      <c r="G613">
        <v>3.8365147487211802E-3</v>
      </c>
      <c r="H613">
        <v>2.67878837347778E-2</v>
      </c>
      <c r="I613">
        <v>0.14321828430740699</v>
      </c>
      <c r="J613">
        <v>0.88611778989049395</v>
      </c>
      <c r="K613" s="6">
        <f t="shared" si="9"/>
        <v>7.5048533253097474E-2</v>
      </c>
    </row>
    <row r="614" spans="1:11" x14ac:dyDescent="0.35">
      <c r="A614">
        <v>613</v>
      </c>
      <c r="B614">
        <v>613</v>
      </c>
      <c r="C614">
        <v>10500</v>
      </c>
      <c r="D614" t="s">
        <v>11</v>
      </c>
      <c r="E614">
        <v>363.35632183908001</v>
      </c>
      <c r="F614">
        <v>482.39268434009603</v>
      </c>
      <c r="G614">
        <v>8.5385985094680195E-3</v>
      </c>
      <c r="H614">
        <v>2.6008154734995501E-2</v>
      </c>
      <c r="I614">
        <v>0.32830466430510902</v>
      </c>
      <c r="J614">
        <v>0.74268131785064495</v>
      </c>
      <c r="K614" s="6">
        <f t="shared" si="9"/>
        <v>7.2864056183242376E-2</v>
      </c>
    </row>
    <row r="615" spans="1:11" x14ac:dyDescent="0.35">
      <c r="A615">
        <v>614</v>
      </c>
      <c r="B615">
        <v>614</v>
      </c>
      <c r="C615">
        <v>11000</v>
      </c>
      <c r="D615" t="s">
        <v>11</v>
      </c>
      <c r="E615">
        <v>363.64067796610198</v>
      </c>
      <c r="F615">
        <v>482.01237028898203</v>
      </c>
      <c r="G615">
        <v>1.1869359081494901E-2</v>
      </c>
      <c r="H615">
        <v>2.52918210864875E-2</v>
      </c>
      <c r="I615">
        <v>0.46929634054055103</v>
      </c>
      <c r="J615">
        <v>0.63885783062269197</v>
      </c>
      <c r="K615" s="6">
        <f t="shared" si="9"/>
        <v>7.0857186578587084E-2</v>
      </c>
    </row>
    <row r="616" spans="1:11" x14ac:dyDescent="0.35">
      <c r="A616">
        <v>615</v>
      </c>
      <c r="B616">
        <v>615</v>
      </c>
      <c r="C616">
        <v>11500</v>
      </c>
      <c r="D616" t="s">
        <v>11</v>
      </c>
      <c r="E616">
        <v>376.48765540185599</v>
      </c>
      <c r="F616">
        <v>491.61108688628099</v>
      </c>
      <c r="G616">
        <v>-5.1110112650178903E-2</v>
      </c>
      <c r="H616">
        <v>2.4626371938271101E-2</v>
      </c>
      <c r="I616">
        <v>-2.0754219410919501</v>
      </c>
      <c r="J616">
        <v>3.79474464359838E-2</v>
      </c>
      <c r="K616" s="6">
        <f t="shared" si="9"/>
        <v>6.8992874226681253E-2</v>
      </c>
    </row>
    <row r="617" spans="1:11" x14ac:dyDescent="0.35">
      <c r="A617">
        <v>616</v>
      </c>
      <c r="B617">
        <v>616</v>
      </c>
      <c r="C617">
        <v>12000</v>
      </c>
      <c r="D617" t="s">
        <v>11</v>
      </c>
      <c r="E617">
        <v>365.37398921832897</v>
      </c>
      <c r="F617">
        <v>483.93780117652602</v>
      </c>
      <c r="G617">
        <v>1.67339368253853E-2</v>
      </c>
      <c r="H617">
        <v>2.4184961699058299E-2</v>
      </c>
      <c r="I617">
        <v>0.69191496077651005</v>
      </c>
      <c r="J617">
        <v>0.48899073475403498</v>
      </c>
      <c r="K617" s="6">
        <f t="shared" si="9"/>
        <v>6.7756225921656255E-2</v>
      </c>
    </row>
    <row r="618" spans="1:11" x14ac:dyDescent="0.35">
      <c r="A618">
        <v>617</v>
      </c>
      <c r="B618">
        <v>617</v>
      </c>
      <c r="C618">
        <v>12500</v>
      </c>
      <c r="D618" t="s">
        <v>11</v>
      </c>
      <c r="E618">
        <v>367.52583685407899</v>
      </c>
      <c r="F618">
        <v>467.406990792562</v>
      </c>
      <c r="G618">
        <v>9.8802205999828207E-3</v>
      </c>
      <c r="H618">
        <v>2.3884385568775101E-2</v>
      </c>
      <c r="I618">
        <v>0.413668610881059</v>
      </c>
      <c r="J618">
        <v>0.67911681809112201</v>
      </c>
      <c r="K618" s="6">
        <f t="shared" si="9"/>
        <v>6.6914136343696792E-2</v>
      </c>
    </row>
    <row r="619" spans="1:11" x14ac:dyDescent="0.35">
      <c r="A619">
        <v>618</v>
      </c>
      <c r="B619">
        <v>618</v>
      </c>
      <c r="C619">
        <v>13000</v>
      </c>
      <c r="D619" t="s">
        <v>11</v>
      </c>
      <c r="E619">
        <v>370.77258039698398</v>
      </c>
      <c r="F619">
        <v>494.26045184269401</v>
      </c>
      <c r="G619">
        <v>-1.3935010319412399E-3</v>
      </c>
      <c r="H619">
        <v>2.3411162728124501E-2</v>
      </c>
      <c r="I619">
        <v>-5.95229313521956E-2</v>
      </c>
      <c r="J619">
        <v>0.95253560127797898</v>
      </c>
      <c r="K619" s="6">
        <f t="shared" si="9"/>
        <v>6.5588362331672687E-2</v>
      </c>
    </row>
    <row r="620" spans="1:11" x14ac:dyDescent="0.35">
      <c r="A620">
        <v>619</v>
      </c>
      <c r="B620">
        <v>619</v>
      </c>
      <c r="C620">
        <v>13500</v>
      </c>
      <c r="D620" t="s">
        <v>11</v>
      </c>
      <c r="E620">
        <v>370.976433970654</v>
      </c>
      <c r="F620">
        <v>490.53883580175</v>
      </c>
      <c r="G620">
        <v>-2.2081880488707701E-3</v>
      </c>
      <c r="H620">
        <v>2.2891753177975201E-2</v>
      </c>
      <c r="I620">
        <v>-9.64621639811898E-2</v>
      </c>
      <c r="J620">
        <v>0.92315352252141603</v>
      </c>
      <c r="K620" s="6">
        <f t="shared" si="9"/>
        <v>6.4133192327117658E-2</v>
      </c>
    </row>
    <row r="621" spans="1:11" x14ac:dyDescent="0.35">
      <c r="A621">
        <v>620</v>
      </c>
      <c r="B621">
        <v>620</v>
      </c>
      <c r="C621">
        <v>14000</v>
      </c>
      <c r="D621" t="s">
        <v>11</v>
      </c>
      <c r="E621">
        <v>369.24935585456598</v>
      </c>
      <c r="F621">
        <v>501.67823686705998</v>
      </c>
      <c r="G621">
        <v>1.20155711835711E-2</v>
      </c>
      <c r="H621">
        <v>2.25653037100088E-2</v>
      </c>
      <c r="I621">
        <v>0.53247992307063896</v>
      </c>
      <c r="J621">
        <v>0.594393643462378</v>
      </c>
      <c r="K621" s="6">
        <f t="shared" si="9"/>
        <v>6.3218616394405014E-2</v>
      </c>
    </row>
    <row r="622" spans="1:11" x14ac:dyDescent="0.35">
      <c r="A622">
        <v>621</v>
      </c>
      <c r="B622">
        <v>621</v>
      </c>
      <c r="C622">
        <v>1000</v>
      </c>
      <c r="D622" t="s">
        <v>11</v>
      </c>
      <c r="E622">
        <v>371.31380753138097</v>
      </c>
      <c r="F622">
        <v>522.21433250649102</v>
      </c>
      <c r="G622">
        <v>-1.7255166164807899E-2</v>
      </c>
      <c r="H622">
        <v>9.5732777232385199E-2</v>
      </c>
      <c r="I622">
        <v>-0.18024303340664699</v>
      </c>
      <c r="J622">
        <v>0.85696177584619104</v>
      </c>
      <c r="K622" s="6">
        <f t="shared" si="9"/>
        <v>0.26820351270259191</v>
      </c>
    </row>
    <row r="623" spans="1:11" x14ac:dyDescent="0.35">
      <c r="A623">
        <v>622</v>
      </c>
      <c r="B623">
        <v>622</v>
      </c>
      <c r="C623">
        <v>1500</v>
      </c>
      <c r="D623" t="s">
        <v>11</v>
      </c>
      <c r="E623">
        <v>381.77840112202</v>
      </c>
      <c r="F623">
        <v>525.35771786835301</v>
      </c>
      <c r="G623">
        <v>-6.6698886886576603E-2</v>
      </c>
      <c r="H623">
        <v>7.3059872243473503E-2</v>
      </c>
      <c r="I623">
        <v>-0.91293462250113599</v>
      </c>
      <c r="J623">
        <v>0.36127692694320201</v>
      </c>
      <c r="K623" s="6">
        <f t="shared" si="9"/>
        <v>0.20468344217923173</v>
      </c>
    </row>
    <row r="624" spans="1:11" x14ac:dyDescent="0.35">
      <c r="A624">
        <v>623</v>
      </c>
      <c r="B624">
        <v>623</v>
      </c>
      <c r="C624">
        <v>2000</v>
      </c>
      <c r="D624" t="s">
        <v>11</v>
      </c>
      <c r="E624">
        <v>368.692607003891</v>
      </c>
      <c r="F624">
        <v>522.69143273050395</v>
      </c>
      <c r="G624">
        <v>2.06158998636304E-2</v>
      </c>
      <c r="H624">
        <v>6.1758149438016302E-2</v>
      </c>
      <c r="I624">
        <v>0.33381667117991598</v>
      </c>
      <c r="J624">
        <v>0.73851790257045302</v>
      </c>
      <c r="K624" s="6">
        <f t="shared" si="9"/>
        <v>0.17302070509330492</v>
      </c>
    </row>
    <row r="625" spans="1:11" x14ac:dyDescent="0.35">
      <c r="A625">
        <v>624</v>
      </c>
      <c r="B625">
        <v>624</v>
      </c>
      <c r="C625">
        <v>2500</v>
      </c>
      <c r="D625" t="s">
        <v>11</v>
      </c>
      <c r="E625">
        <v>389.12974683544297</v>
      </c>
      <c r="F625">
        <v>531.70741029956798</v>
      </c>
      <c r="G625">
        <v>-0.10532108324610399</v>
      </c>
      <c r="H625">
        <v>5.5322288483439397E-2</v>
      </c>
      <c r="I625">
        <v>-1.90377307470988</v>
      </c>
      <c r="J625">
        <v>5.6939744638777899E-2</v>
      </c>
      <c r="K625" s="6">
        <f t="shared" si="9"/>
        <v>0.15499009358087656</v>
      </c>
    </row>
    <row r="626" spans="1:11" x14ac:dyDescent="0.35">
      <c r="A626">
        <v>625</v>
      </c>
      <c r="B626">
        <v>625</v>
      </c>
      <c r="C626">
        <v>3000</v>
      </c>
      <c r="D626" t="s">
        <v>11</v>
      </c>
      <c r="E626">
        <v>374.51669941060902</v>
      </c>
      <c r="F626">
        <v>535.79495899945698</v>
      </c>
      <c r="G626">
        <v>-4.4447491933718303E-2</v>
      </c>
      <c r="H626">
        <v>4.95623275977276E-2</v>
      </c>
      <c r="I626">
        <v>-0.89679993027115601</v>
      </c>
      <c r="J626">
        <v>0.36982568519220899</v>
      </c>
      <c r="K626" s="6">
        <f t="shared" si="9"/>
        <v>0.13885307356287968</v>
      </c>
    </row>
    <row r="627" spans="1:11" x14ac:dyDescent="0.35">
      <c r="A627">
        <v>626</v>
      </c>
      <c r="B627">
        <v>626</v>
      </c>
      <c r="C627">
        <v>3500</v>
      </c>
      <c r="D627" t="s">
        <v>11</v>
      </c>
      <c r="E627">
        <v>382.71469248291601</v>
      </c>
      <c r="F627">
        <v>528.10215172426899</v>
      </c>
      <c r="G627">
        <v>-6.5588268326192495E-2</v>
      </c>
      <c r="H627">
        <v>4.6131212579654197E-2</v>
      </c>
      <c r="I627">
        <v>-1.42177637782536</v>
      </c>
      <c r="J627">
        <v>0.155091179239917</v>
      </c>
      <c r="K627" s="6">
        <f t="shared" si="9"/>
        <v>0.12924051319497051</v>
      </c>
    </row>
    <row r="628" spans="1:11" x14ac:dyDescent="0.35">
      <c r="A628">
        <v>627</v>
      </c>
      <c r="B628">
        <v>627</v>
      </c>
      <c r="C628">
        <v>4000</v>
      </c>
      <c r="D628" t="s">
        <v>11</v>
      </c>
      <c r="E628">
        <v>385.95965708522402</v>
      </c>
      <c r="F628">
        <v>544.80519054714205</v>
      </c>
      <c r="G628">
        <v>-8.8912327185844506E-2</v>
      </c>
      <c r="H628">
        <v>4.2413304199828403E-2</v>
      </c>
      <c r="I628">
        <v>-2.0963310655292999</v>
      </c>
      <c r="J628">
        <v>3.60528327996954E-2</v>
      </c>
      <c r="K628" s="6">
        <f t="shared" si="9"/>
        <v>0.11882447684667627</v>
      </c>
    </row>
    <row r="629" spans="1:11" x14ac:dyDescent="0.35">
      <c r="A629">
        <v>628</v>
      </c>
      <c r="B629">
        <v>628</v>
      </c>
      <c r="C629">
        <v>4500</v>
      </c>
      <c r="D629" t="s">
        <v>11</v>
      </c>
      <c r="E629">
        <v>357.50893655049202</v>
      </c>
      <c r="F629">
        <v>485.09245777362401</v>
      </c>
      <c r="G629">
        <v>5.1351331524766002E-2</v>
      </c>
      <c r="H629">
        <v>4.0191682995937103E-2</v>
      </c>
      <c r="I629">
        <v>1.27766064262492</v>
      </c>
      <c r="J629">
        <v>0.20136910815009501</v>
      </c>
      <c r="K629" s="6">
        <f t="shared" si="9"/>
        <v>0.11260041620617246</v>
      </c>
    </row>
    <row r="630" spans="1:11" x14ac:dyDescent="0.35">
      <c r="A630">
        <v>629</v>
      </c>
      <c r="B630">
        <v>629</v>
      </c>
      <c r="C630">
        <v>5000</v>
      </c>
      <c r="D630" t="s">
        <v>11</v>
      </c>
      <c r="E630">
        <v>361.74930911962099</v>
      </c>
      <c r="F630">
        <v>483.92379978804502</v>
      </c>
      <c r="G630">
        <v>9.2512524457867805E-3</v>
      </c>
      <c r="H630">
        <v>3.7754128091736103E-2</v>
      </c>
      <c r="I630">
        <v>0.24503949404705599</v>
      </c>
      <c r="J630">
        <v>0.80642585150996404</v>
      </c>
      <c r="K630" s="6">
        <f t="shared" si="9"/>
        <v>0.10577139894988649</v>
      </c>
    </row>
    <row r="631" spans="1:11" x14ac:dyDescent="0.35">
      <c r="A631">
        <v>630</v>
      </c>
      <c r="B631">
        <v>630</v>
      </c>
      <c r="C631">
        <v>5500</v>
      </c>
      <c r="D631" t="s">
        <v>11</v>
      </c>
      <c r="E631">
        <v>371.90685920577602</v>
      </c>
      <c r="F631">
        <v>503.44920732766798</v>
      </c>
      <c r="G631">
        <v>-2.1319523402098899E-2</v>
      </c>
      <c r="H631">
        <v>3.6055262090466902E-2</v>
      </c>
      <c r="I631">
        <v>-0.59130130155774996</v>
      </c>
      <c r="J631">
        <v>0.55431855766067695</v>
      </c>
      <c r="K631" s="6">
        <f t="shared" si="9"/>
        <v>0.10101188144372072</v>
      </c>
    </row>
    <row r="632" spans="1:11" x14ac:dyDescent="0.35">
      <c r="A632">
        <v>631</v>
      </c>
      <c r="B632">
        <v>631</v>
      </c>
      <c r="C632">
        <v>6000</v>
      </c>
      <c r="D632" t="s">
        <v>11</v>
      </c>
      <c r="E632">
        <v>370.823941313771</v>
      </c>
      <c r="F632">
        <v>510.16474763239199</v>
      </c>
      <c r="G632">
        <v>8.7430994834798801E-3</v>
      </c>
      <c r="H632">
        <v>3.4803664870143997E-2</v>
      </c>
      <c r="I632">
        <v>0.25121203517219398</v>
      </c>
      <c r="J632">
        <v>0.80165018014087996</v>
      </c>
      <c r="K632" s="6">
        <f t="shared" si="9"/>
        <v>9.750542544522238E-2</v>
      </c>
    </row>
    <row r="633" spans="1:11" x14ac:dyDescent="0.35">
      <c r="A633">
        <v>632</v>
      </c>
      <c r="B633">
        <v>632</v>
      </c>
      <c r="C633">
        <v>6500</v>
      </c>
      <c r="D633" t="s">
        <v>11</v>
      </c>
      <c r="E633">
        <v>386.24615857406297</v>
      </c>
      <c r="F633">
        <v>548.42677263161397</v>
      </c>
      <c r="G633">
        <v>-7.1231255291404103E-2</v>
      </c>
      <c r="H633">
        <v>3.3054662774021699E-2</v>
      </c>
      <c r="I633">
        <v>-2.1549533201526399</v>
      </c>
      <c r="J633">
        <v>3.1165487256018198E-2</v>
      </c>
      <c r="K633" s="6">
        <f t="shared" si="9"/>
        <v>9.2605447407757585E-2</v>
      </c>
    </row>
    <row r="634" spans="1:11" x14ac:dyDescent="0.35">
      <c r="A634">
        <v>633</v>
      </c>
      <c r="B634">
        <v>633</v>
      </c>
      <c r="C634">
        <v>7000</v>
      </c>
      <c r="D634" t="s">
        <v>11</v>
      </c>
      <c r="E634">
        <v>384.53646269907802</v>
      </c>
      <c r="F634">
        <v>541.26568024426797</v>
      </c>
      <c r="G634">
        <v>-7.1400305527981198E-2</v>
      </c>
      <c r="H634">
        <v>3.16053953811639E-2</v>
      </c>
      <c r="I634">
        <v>-2.25911761795374</v>
      </c>
      <c r="J634">
        <v>2.3876069510756898E-2</v>
      </c>
      <c r="K634" s="6">
        <f t="shared" si="9"/>
        <v>8.8545201618938071E-2</v>
      </c>
    </row>
    <row r="635" spans="1:11" x14ac:dyDescent="0.35">
      <c r="A635">
        <v>634</v>
      </c>
      <c r="B635">
        <v>634</v>
      </c>
      <c r="C635">
        <v>7500</v>
      </c>
      <c r="D635" t="s">
        <v>11</v>
      </c>
      <c r="E635">
        <v>364.53278470931798</v>
      </c>
      <c r="F635">
        <v>476.031681051936</v>
      </c>
      <c r="G635">
        <v>2.8606659657847502E-2</v>
      </c>
      <c r="H635">
        <v>3.0738108148428998E-2</v>
      </c>
      <c r="I635">
        <v>0.93065778543399202</v>
      </c>
      <c r="J635">
        <v>0.35203061296022697</v>
      </c>
      <c r="K635" s="6">
        <f t="shared" si="9"/>
        <v>8.6115422717016457E-2</v>
      </c>
    </row>
    <row r="636" spans="1:11" x14ac:dyDescent="0.35">
      <c r="A636">
        <v>635</v>
      </c>
      <c r="B636">
        <v>635</v>
      </c>
      <c r="C636">
        <v>8000</v>
      </c>
      <c r="D636" t="s">
        <v>11</v>
      </c>
      <c r="E636">
        <v>367.27286282306198</v>
      </c>
      <c r="F636">
        <v>464.70946140456499</v>
      </c>
      <c r="G636">
        <v>1.97519781369687E-2</v>
      </c>
      <c r="H636">
        <v>2.9888526096660799E-2</v>
      </c>
      <c r="I636">
        <v>0.66085487364247897</v>
      </c>
      <c r="J636">
        <v>0.508705388126513</v>
      </c>
      <c r="K636" s="6">
        <f t="shared" si="9"/>
        <v>8.3735246384513448E-2</v>
      </c>
    </row>
    <row r="637" spans="1:11" x14ac:dyDescent="0.35">
      <c r="A637">
        <v>636</v>
      </c>
      <c r="B637">
        <v>636</v>
      </c>
      <c r="C637">
        <v>8500</v>
      </c>
      <c r="D637" t="s">
        <v>11</v>
      </c>
      <c r="E637">
        <v>368.77832512315302</v>
      </c>
      <c r="F637">
        <v>478.94407248652402</v>
      </c>
      <c r="G637">
        <v>1.41900687952966E-2</v>
      </c>
      <c r="H637">
        <v>2.9039222395171899E-2</v>
      </c>
      <c r="I637">
        <v>0.48865181726270401</v>
      </c>
      <c r="J637">
        <v>0.62508822118854701</v>
      </c>
      <c r="K637" s="6">
        <f t="shared" si="9"/>
        <v>8.1355849873977676E-2</v>
      </c>
    </row>
    <row r="638" spans="1:11" x14ac:dyDescent="0.35">
      <c r="A638">
        <v>637</v>
      </c>
      <c r="B638">
        <v>637</v>
      </c>
      <c r="C638">
        <v>9000</v>
      </c>
      <c r="D638" t="s">
        <v>11</v>
      </c>
      <c r="E638">
        <v>370.09533333333297</v>
      </c>
      <c r="F638">
        <v>469.62654174252799</v>
      </c>
      <c r="G638">
        <v>-4.2734843021790996E-3</v>
      </c>
      <c r="H638">
        <v>2.8172046949497799E-2</v>
      </c>
      <c r="I638">
        <v>-0.151692360510399</v>
      </c>
      <c r="J638">
        <v>0.87942958287211204</v>
      </c>
      <c r="K638" s="6">
        <f t="shared" si="9"/>
        <v>7.8926384153008802E-2</v>
      </c>
    </row>
    <row r="639" spans="1:11" x14ac:dyDescent="0.35">
      <c r="A639">
        <v>638</v>
      </c>
      <c r="B639">
        <v>638</v>
      </c>
      <c r="C639">
        <v>9500</v>
      </c>
      <c r="D639" t="s">
        <v>11</v>
      </c>
      <c r="E639">
        <v>357.08579758434001</v>
      </c>
      <c r="F639">
        <v>462.388385097943</v>
      </c>
      <c r="G639">
        <v>4.8059523842168099E-2</v>
      </c>
      <c r="H639">
        <v>2.7343445359613E-2</v>
      </c>
      <c r="I639">
        <v>1.7576250253069201</v>
      </c>
      <c r="J639">
        <v>7.8811332393810399E-2</v>
      </c>
      <c r="K639" s="6">
        <f t="shared" si="9"/>
        <v>7.6604986367811392E-2</v>
      </c>
    </row>
    <row r="640" spans="1:11" x14ac:dyDescent="0.35">
      <c r="A640">
        <v>639</v>
      </c>
      <c r="B640">
        <v>639</v>
      </c>
      <c r="C640">
        <v>10000</v>
      </c>
      <c r="D640" t="s">
        <v>11</v>
      </c>
      <c r="E640">
        <v>359.96000803858499</v>
      </c>
      <c r="F640">
        <v>466.86483749665001</v>
      </c>
      <c r="G640">
        <v>2.64933495354568E-2</v>
      </c>
      <c r="H640">
        <v>2.6744860762443201E-2</v>
      </c>
      <c r="I640">
        <v>0.99059590441616596</v>
      </c>
      <c r="J640">
        <v>0.321882938358937</v>
      </c>
      <c r="K640" s="6">
        <f t="shared" si="9"/>
        <v>7.4928000739149445E-2</v>
      </c>
    </row>
    <row r="641" spans="1:11" x14ac:dyDescent="0.35">
      <c r="A641">
        <v>640</v>
      </c>
      <c r="B641">
        <v>640</v>
      </c>
      <c r="C641">
        <v>10500</v>
      </c>
      <c r="D641" t="s">
        <v>11</v>
      </c>
      <c r="E641">
        <v>368.11595301250497</v>
      </c>
      <c r="F641">
        <v>502.924186491098</v>
      </c>
      <c r="G641">
        <v>-1.7593640099963202E-2</v>
      </c>
      <c r="H641">
        <v>2.5989430548394699E-2</v>
      </c>
      <c r="I641">
        <v>-0.67695365880380798</v>
      </c>
      <c r="J641">
        <v>0.49843535720349103</v>
      </c>
      <c r="K641" s="6">
        <f t="shared" si="9"/>
        <v>7.2811598782924369E-2</v>
      </c>
    </row>
    <row r="642" spans="1:11" x14ac:dyDescent="0.35">
      <c r="A642">
        <v>641</v>
      </c>
      <c r="B642">
        <v>641</v>
      </c>
      <c r="C642">
        <v>11000</v>
      </c>
      <c r="D642" t="s">
        <v>11</v>
      </c>
      <c r="E642">
        <v>363.67454212454197</v>
      </c>
      <c r="F642">
        <v>468.79622098042103</v>
      </c>
      <c r="G642">
        <v>1.13766368156645E-2</v>
      </c>
      <c r="H642">
        <v>2.52700607723804E-2</v>
      </c>
      <c r="I642">
        <v>0.45020219453128102</v>
      </c>
      <c r="J642">
        <v>0.65256465404893405</v>
      </c>
      <c r="K642" s="6">
        <f t="shared" si="9"/>
        <v>7.0796223208989345E-2</v>
      </c>
    </row>
    <row r="643" spans="1:11" x14ac:dyDescent="0.35">
      <c r="A643">
        <v>642</v>
      </c>
      <c r="B643">
        <v>642</v>
      </c>
      <c r="C643">
        <v>11500</v>
      </c>
      <c r="D643" t="s">
        <v>11</v>
      </c>
      <c r="E643">
        <v>368.73327556325802</v>
      </c>
      <c r="F643">
        <v>504.29761552611302</v>
      </c>
      <c r="G643">
        <v>-9.2337567417313197E-3</v>
      </c>
      <c r="H643">
        <v>2.46133053151485E-2</v>
      </c>
      <c r="I643">
        <v>-0.37515305740136801</v>
      </c>
      <c r="J643">
        <v>0.70754663957296104</v>
      </c>
      <c r="K643" s="6">
        <f t="shared" ref="K643:K706" si="10">H643*2.801585</f>
        <v>6.8956266971340316E-2</v>
      </c>
    </row>
    <row r="644" spans="1:11" x14ac:dyDescent="0.35">
      <c r="A644">
        <v>643</v>
      </c>
      <c r="B644">
        <v>643</v>
      </c>
      <c r="C644">
        <v>12000</v>
      </c>
      <c r="D644" t="s">
        <v>11</v>
      </c>
      <c r="E644">
        <v>368.60964099106701</v>
      </c>
      <c r="F644">
        <v>493.97038615890602</v>
      </c>
      <c r="G644">
        <v>-6.4397472663347795E-4</v>
      </c>
      <c r="H644">
        <v>2.4192532770660299E-2</v>
      </c>
      <c r="I644">
        <v>-2.6618739457262001E-2</v>
      </c>
      <c r="J644">
        <v>0.97876382662953698</v>
      </c>
      <c r="K644" s="6">
        <f t="shared" si="10"/>
        <v>6.7777436922290338E-2</v>
      </c>
    </row>
    <row r="645" spans="1:11" x14ac:dyDescent="0.35">
      <c r="A645">
        <v>644</v>
      </c>
      <c r="B645">
        <v>644</v>
      </c>
      <c r="C645">
        <v>12500</v>
      </c>
      <c r="D645" t="s">
        <v>11</v>
      </c>
      <c r="E645">
        <v>366.13611969425898</v>
      </c>
      <c r="F645">
        <v>478.87637256364002</v>
      </c>
      <c r="G645">
        <v>1.72794146453106E-2</v>
      </c>
      <c r="H645">
        <v>2.3904145173227399E-2</v>
      </c>
      <c r="I645">
        <v>0.72286268846223201</v>
      </c>
      <c r="J645">
        <v>0.46976424865425398</v>
      </c>
      <c r="K645" s="6">
        <f t="shared" si="10"/>
        <v>6.6969494555136289E-2</v>
      </c>
    </row>
    <row r="646" spans="1:11" x14ac:dyDescent="0.35">
      <c r="A646">
        <v>645</v>
      </c>
      <c r="B646">
        <v>645</v>
      </c>
      <c r="C646">
        <v>13000</v>
      </c>
      <c r="D646" t="s">
        <v>11</v>
      </c>
      <c r="E646">
        <v>371.01368159203997</v>
      </c>
      <c r="F646">
        <v>499.18479848427802</v>
      </c>
      <c r="G646">
        <v>-2.6672166071597301E-3</v>
      </c>
      <c r="H646">
        <v>2.3415879044901299E-2</v>
      </c>
      <c r="I646">
        <v>-0.11390631981166199</v>
      </c>
      <c r="J646">
        <v>0.90931205569221096</v>
      </c>
      <c r="K646" s="6">
        <f t="shared" si="10"/>
        <v>6.5601575494009814E-2</v>
      </c>
    </row>
    <row r="647" spans="1:11" x14ac:dyDescent="0.35">
      <c r="A647">
        <v>646</v>
      </c>
      <c r="B647">
        <v>646</v>
      </c>
      <c r="C647">
        <v>13500</v>
      </c>
      <c r="D647" t="s">
        <v>11</v>
      </c>
      <c r="E647">
        <v>376.47828691224902</v>
      </c>
      <c r="F647">
        <v>481.35673982062002</v>
      </c>
      <c r="G647">
        <v>-3.1563997095882902E-2</v>
      </c>
      <c r="H647">
        <v>2.2897424444245699E-2</v>
      </c>
      <c r="I647">
        <v>-1.37849552349173</v>
      </c>
      <c r="J647">
        <v>0.168050349016587</v>
      </c>
      <c r="K647" s="6">
        <f t="shared" si="10"/>
        <v>6.4149080861632096E-2</v>
      </c>
    </row>
    <row r="648" spans="1:11" x14ac:dyDescent="0.35">
      <c r="A648">
        <v>647</v>
      </c>
      <c r="B648">
        <v>647</v>
      </c>
      <c r="C648">
        <v>14000</v>
      </c>
      <c r="D648" t="s">
        <v>11</v>
      </c>
      <c r="E648">
        <v>374.99146393512598</v>
      </c>
      <c r="F648">
        <v>512.82723044147701</v>
      </c>
      <c r="G648">
        <v>-1.8954820033645702E-2</v>
      </c>
      <c r="H648">
        <v>2.2542189166137899E-2</v>
      </c>
      <c r="I648">
        <v>-0.84085977160190395</v>
      </c>
      <c r="J648">
        <v>0.40042649731871899</v>
      </c>
      <c r="K648" s="6">
        <f t="shared" si="10"/>
        <v>6.3153859035014456E-2</v>
      </c>
    </row>
    <row r="649" spans="1:11" x14ac:dyDescent="0.35">
      <c r="A649">
        <v>648</v>
      </c>
      <c r="B649">
        <v>648</v>
      </c>
      <c r="C649">
        <v>1000</v>
      </c>
      <c r="D649" t="s">
        <v>11</v>
      </c>
      <c r="E649">
        <v>346.70192307692298</v>
      </c>
      <c r="F649">
        <v>443.66071936521797</v>
      </c>
      <c r="G649">
        <v>0.120417982650719</v>
      </c>
      <c r="H649">
        <v>9.5434619586838895E-2</v>
      </c>
      <c r="I649">
        <v>1.2617851170994301</v>
      </c>
      <c r="J649">
        <v>0.207026118966849</v>
      </c>
      <c r="K649" s="6">
        <f t="shared" si="10"/>
        <v>0.26736819871519407</v>
      </c>
    </row>
    <row r="650" spans="1:11" x14ac:dyDescent="0.35">
      <c r="A650">
        <v>649</v>
      </c>
      <c r="B650">
        <v>649</v>
      </c>
      <c r="C650">
        <v>1500</v>
      </c>
      <c r="D650" t="s">
        <v>11</v>
      </c>
      <c r="E650">
        <v>379.82741116751299</v>
      </c>
      <c r="F650">
        <v>597.60270820910398</v>
      </c>
      <c r="G650">
        <v>-6.2795892002949397E-2</v>
      </c>
      <c r="H650">
        <v>7.15012590455638E-2</v>
      </c>
      <c r="I650">
        <v>-0.87824875870973196</v>
      </c>
      <c r="J650">
        <v>0.37980873680086102</v>
      </c>
      <c r="K650" s="6">
        <f t="shared" si="10"/>
        <v>0.20031685482316589</v>
      </c>
    </row>
    <row r="651" spans="1:11" x14ac:dyDescent="0.35">
      <c r="A651">
        <v>650</v>
      </c>
      <c r="B651">
        <v>650</v>
      </c>
      <c r="C651">
        <v>2000</v>
      </c>
      <c r="D651" t="s">
        <v>11</v>
      </c>
      <c r="E651">
        <v>377.81818181818198</v>
      </c>
      <c r="F651">
        <v>574.84912997560696</v>
      </c>
      <c r="G651">
        <v>-2.80536960303761E-2</v>
      </c>
      <c r="H651">
        <v>6.2057480666734798E-2</v>
      </c>
      <c r="I651">
        <v>-0.45205986013244598</v>
      </c>
      <c r="J651">
        <v>0.65122585955552303</v>
      </c>
      <c r="K651" s="6">
        <f t="shared" si="10"/>
        <v>0.17385930697371421</v>
      </c>
    </row>
    <row r="652" spans="1:11" x14ac:dyDescent="0.35">
      <c r="A652">
        <v>651</v>
      </c>
      <c r="B652">
        <v>651</v>
      </c>
      <c r="C652">
        <v>2500</v>
      </c>
      <c r="D652" t="s">
        <v>11</v>
      </c>
      <c r="E652">
        <v>373.458201892744</v>
      </c>
      <c r="F652">
        <v>543.84347269937098</v>
      </c>
      <c r="G652">
        <v>-1.9534254870154699E-2</v>
      </c>
      <c r="H652">
        <v>5.5206375743900499E-2</v>
      </c>
      <c r="I652">
        <v>-0.35384055930012698</v>
      </c>
      <c r="J652">
        <v>0.72345837541576996</v>
      </c>
      <c r="K652" s="6">
        <f t="shared" si="10"/>
        <v>0.15466535418847549</v>
      </c>
    </row>
    <row r="653" spans="1:11" x14ac:dyDescent="0.35">
      <c r="A653">
        <v>652</v>
      </c>
      <c r="B653">
        <v>652</v>
      </c>
      <c r="C653">
        <v>3000</v>
      </c>
      <c r="D653" t="s">
        <v>11</v>
      </c>
      <c r="E653">
        <v>349.34575835475601</v>
      </c>
      <c r="F653">
        <v>464.59008518834003</v>
      </c>
      <c r="G653">
        <v>9.7262132541183294E-2</v>
      </c>
      <c r="H653">
        <v>4.9712608211017702E-2</v>
      </c>
      <c r="I653">
        <v>1.9564882238391099</v>
      </c>
      <c r="J653">
        <v>5.0407668350513503E-2</v>
      </c>
      <c r="K653" s="6">
        <f t="shared" si="10"/>
        <v>0.13927409747486405</v>
      </c>
    </row>
    <row r="654" spans="1:11" x14ac:dyDescent="0.35">
      <c r="A654">
        <v>653</v>
      </c>
      <c r="B654">
        <v>653</v>
      </c>
      <c r="C654">
        <v>3500</v>
      </c>
      <c r="D654" t="s">
        <v>11</v>
      </c>
      <c r="E654">
        <v>396.88225255972702</v>
      </c>
      <c r="F654">
        <v>529.15510378567103</v>
      </c>
      <c r="G654">
        <v>-0.142727683737679</v>
      </c>
      <c r="H654">
        <v>4.6193017565000799E-2</v>
      </c>
      <c r="I654">
        <v>-3.0898107822646299</v>
      </c>
      <c r="J654">
        <v>2.0028404674236298E-3</v>
      </c>
      <c r="K654" s="6">
        <f t="shared" si="10"/>
        <v>0.12941366511484279</v>
      </c>
    </row>
    <row r="655" spans="1:11" x14ac:dyDescent="0.35">
      <c r="A655">
        <v>654</v>
      </c>
      <c r="B655">
        <v>654</v>
      </c>
      <c r="C655">
        <v>4000</v>
      </c>
      <c r="D655" t="s">
        <v>11</v>
      </c>
      <c r="E655">
        <v>387.67425392008101</v>
      </c>
      <c r="F655">
        <v>543.37913068662397</v>
      </c>
      <c r="G655">
        <v>-9.7824244221052695E-2</v>
      </c>
      <c r="H655">
        <v>4.24188198458803E-2</v>
      </c>
      <c r="I655">
        <v>-2.3061519527529599</v>
      </c>
      <c r="J655">
        <v>2.11021432178434E-2</v>
      </c>
      <c r="K655" s="6">
        <f t="shared" si="10"/>
        <v>0.11883992939792057</v>
      </c>
    </row>
    <row r="656" spans="1:11" x14ac:dyDescent="0.35">
      <c r="A656">
        <v>655</v>
      </c>
      <c r="B656">
        <v>655</v>
      </c>
      <c r="C656">
        <v>4500</v>
      </c>
      <c r="D656" t="s">
        <v>11</v>
      </c>
      <c r="E656">
        <v>370.02973812694199</v>
      </c>
      <c r="F656">
        <v>474.02005348359899</v>
      </c>
      <c r="G656">
        <v>-1.66532743489483E-2</v>
      </c>
      <c r="H656">
        <v>4.0230693139721503E-2</v>
      </c>
      <c r="I656">
        <v>-0.41394450478671402</v>
      </c>
      <c r="J656">
        <v>0.67891474951953701</v>
      </c>
      <c r="K656" s="6">
        <f t="shared" si="10"/>
        <v>0.11270970643984668</v>
      </c>
    </row>
    <row r="657" spans="1:11" x14ac:dyDescent="0.35">
      <c r="A657">
        <v>656</v>
      </c>
      <c r="B657">
        <v>656</v>
      </c>
      <c r="C657">
        <v>5000</v>
      </c>
      <c r="D657" t="s">
        <v>11</v>
      </c>
      <c r="E657">
        <v>381.87288135593201</v>
      </c>
      <c r="F657">
        <v>507.36125359175401</v>
      </c>
      <c r="G657">
        <v>-0.10077362620482</v>
      </c>
      <c r="H657">
        <v>3.7688244243583101E-2</v>
      </c>
      <c r="I657">
        <v>-2.6738742604592902</v>
      </c>
      <c r="J657">
        <v>7.4980559008922896E-3</v>
      </c>
      <c r="K657" s="6">
        <f t="shared" si="10"/>
        <v>0.10558681974915878</v>
      </c>
    </row>
    <row r="658" spans="1:11" x14ac:dyDescent="0.35">
      <c r="A658">
        <v>657</v>
      </c>
      <c r="B658">
        <v>657</v>
      </c>
      <c r="C658">
        <v>5500</v>
      </c>
      <c r="D658" t="s">
        <v>11</v>
      </c>
      <c r="E658">
        <v>358.574203004764</v>
      </c>
      <c r="F658">
        <v>443.52206600042501</v>
      </c>
      <c r="G658">
        <v>5.0927676240663099E-2</v>
      </c>
      <c r="H658">
        <v>3.5894431023813199E-2</v>
      </c>
      <c r="I658">
        <v>1.41881831771832</v>
      </c>
      <c r="J658">
        <v>0.155951990872851</v>
      </c>
      <c r="K658" s="6">
        <f t="shared" si="10"/>
        <v>0.10056129953984971</v>
      </c>
    </row>
    <row r="659" spans="1:11" x14ac:dyDescent="0.35">
      <c r="A659">
        <v>658</v>
      </c>
      <c r="B659">
        <v>658</v>
      </c>
      <c r="C659">
        <v>6000</v>
      </c>
      <c r="D659" t="s">
        <v>11</v>
      </c>
      <c r="E659">
        <v>363.10668422785602</v>
      </c>
      <c r="F659">
        <v>482.88070218320502</v>
      </c>
      <c r="G659">
        <v>5.0807850712956598E-2</v>
      </c>
      <c r="H659">
        <v>3.4771601178642697E-2</v>
      </c>
      <c r="I659">
        <v>1.4611881245251299</v>
      </c>
      <c r="J659">
        <v>0.14396382113855999</v>
      </c>
      <c r="K659" s="6">
        <f t="shared" si="10"/>
        <v>9.7415596288067702E-2</v>
      </c>
    </row>
    <row r="660" spans="1:11" x14ac:dyDescent="0.35">
      <c r="A660">
        <v>659</v>
      </c>
      <c r="B660">
        <v>659</v>
      </c>
      <c r="C660">
        <v>6500</v>
      </c>
      <c r="D660" t="s">
        <v>11</v>
      </c>
      <c r="E660">
        <v>369.17200000000003</v>
      </c>
      <c r="F660">
        <v>482.456780494631</v>
      </c>
      <c r="G660">
        <v>2.04445335210281E-2</v>
      </c>
      <c r="H660">
        <v>3.3232959119198303E-2</v>
      </c>
      <c r="I660">
        <v>0.61518847742985105</v>
      </c>
      <c r="J660">
        <v>0.53843025643418396</v>
      </c>
      <c r="K660" s="6">
        <f t="shared" si="10"/>
        <v>9.3104959773959189E-2</v>
      </c>
    </row>
    <row r="661" spans="1:11" x14ac:dyDescent="0.35">
      <c r="A661">
        <v>660</v>
      </c>
      <c r="B661">
        <v>660</v>
      </c>
      <c r="C661">
        <v>7000</v>
      </c>
      <c r="D661" t="s">
        <v>11</v>
      </c>
      <c r="E661">
        <v>366.621912234815</v>
      </c>
      <c r="F661">
        <v>477.679695004628</v>
      </c>
      <c r="G661">
        <v>2.6283530287804401E-2</v>
      </c>
      <c r="H661">
        <v>3.1828906026883298E-2</v>
      </c>
      <c r="I661">
        <v>0.82577548425964797</v>
      </c>
      <c r="J661">
        <v>0.40893146345653503</v>
      </c>
      <c r="K661" s="6">
        <f t="shared" si="10"/>
        <v>8.917138569132585E-2</v>
      </c>
    </row>
    <row r="662" spans="1:11" x14ac:dyDescent="0.35">
      <c r="A662">
        <v>661</v>
      </c>
      <c r="B662">
        <v>661</v>
      </c>
      <c r="C662">
        <v>7500</v>
      </c>
      <c r="D662" t="s">
        <v>11</v>
      </c>
      <c r="E662">
        <v>369.75582953631698</v>
      </c>
      <c r="F662">
        <v>480.16566024272203</v>
      </c>
      <c r="G662">
        <v>2.2764116610074901E-4</v>
      </c>
      <c r="H662">
        <v>3.0746462371951899E-2</v>
      </c>
      <c r="I662">
        <v>7.4038165219427604E-3</v>
      </c>
      <c r="J662">
        <v>0.99409266307609601</v>
      </c>
      <c r="K662" s="6">
        <f t="shared" si="10"/>
        <v>8.613882778432487E-2</v>
      </c>
    </row>
    <row r="663" spans="1:11" x14ac:dyDescent="0.35">
      <c r="A663">
        <v>662</v>
      </c>
      <c r="B663">
        <v>662</v>
      </c>
      <c r="C663">
        <v>8000</v>
      </c>
      <c r="D663" t="s">
        <v>11</v>
      </c>
      <c r="E663">
        <v>370.26681670417599</v>
      </c>
      <c r="F663">
        <v>499.197550749181</v>
      </c>
      <c r="G663">
        <v>3.4894728659962699E-3</v>
      </c>
      <c r="H663">
        <v>2.9903112351452099E-2</v>
      </c>
      <c r="I663">
        <v>0.116692631355038</v>
      </c>
      <c r="J663">
        <v>0.90710362970817204</v>
      </c>
      <c r="K663" s="6">
        <f t="shared" si="10"/>
        <v>8.377611101714294E-2</v>
      </c>
    </row>
    <row r="664" spans="1:11" x14ac:dyDescent="0.35">
      <c r="A664">
        <v>663</v>
      </c>
      <c r="B664">
        <v>663</v>
      </c>
      <c r="C664">
        <v>8500</v>
      </c>
      <c r="D664" t="s">
        <v>11</v>
      </c>
      <c r="E664">
        <v>369.22374321453901</v>
      </c>
      <c r="F664">
        <v>491.04187039640198</v>
      </c>
      <c r="G664">
        <v>1.1712696378984399E-2</v>
      </c>
      <c r="H664">
        <v>2.9043045530656699E-2</v>
      </c>
      <c r="I664">
        <v>0.40328747088940597</v>
      </c>
      <c r="J664">
        <v>0.68673675773416298</v>
      </c>
      <c r="K664" s="6">
        <f t="shared" si="10"/>
        <v>8.1366560713004854E-2</v>
      </c>
    </row>
    <row r="665" spans="1:11" x14ac:dyDescent="0.35">
      <c r="A665">
        <v>664</v>
      </c>
      <c r="B665">
        <v>664</v>
      </c>
      <c r="C665">
        <v>9000</v>
      </c>
      <c r="D665" t="s">
        <v>11</v>
      </c>
      <c r="E665">
        <v>374.87771070869701</v>
      </c>
      <c r="F665">
        <v>478.824929471232</v>
      </c>
      <c r="G665">
        <v>-2.9992322525911001E-2</v>
      </c>
      <c r="H665">
        <v>2.8183983605471599E-2</v>
      </c>
      <c r="I665">
        <v>-1.06416193486886</v>
      </c>
      <c r="J665">
        <v>0.28725534762185201</v>
      </c>
      <c r="K665" s="6">
        <f t="shared" si="10"/>
        <v>7.8959825709335157E-2</v>
      </c>
    </row>
    <row r="666" spans="1:11" x14ac:dyDescent="0.35">
      <c r="A666">
        <v>665</v>
      </c>
      <c r="B666">
        <v>665</v>
      </c>
      <c r="C666">
        <v>9500</v>
      </c>
      <c r="D666" t="s">
        <v>11</v>
      </c>
      <c r="E666">
        <v>370.19106543624201</v>
      </c>
      <c r="F666">
        <v>491.30943931960599</v>
      </c>
      <c r="G666">
        <v>-2.4213888351164999E-2</v>
      </c>
      <c r="H666">
        <v>2.7375183470714999E-2</v>
      </c>
      <c r="I666">
        <v>-0.88451967370622797</v>
      </c>
      <c r="J666">
        <v>0.376415746966067</v>
      </c>
      <c r="K666" s="6">
        <f t="shared" si="10"/>
        <v>7.669390338380308E-2</v>
      </c>
    </row>
    <row r="667" spans="1:11" x14ac:dyDescent="0.35">
      <c r="A667">
        <v>666</v>
      </c>
      <c r="B667">
        <v>666</v>
      </c>
      <c r="C667">
        <v>10000</v>
      </c>
      <c r="D667" t="s">
        <v>11</v>
      </c>
      <c r="E667">
        <v>369.78131846245799</v>
      </c>
      <c r="F667">
        <v>515.804893757164</v>
      </c>
      <c r="G667">
        <v>-2.7343495286442501E-2</v>
      </c>
      <c r="H667">
        <v>2.6730663888545999E-2</v>
      </c>
      <c r="I667">
        <v>-1.02292615703267</v>
      </c>
      <c r="J667">
        <v>0.30634276103020402</v>
      </c>
      <c r="K667" s="6">
        <f t="shared" si="10"/>
        <v>7.4888226990192153E-2</v>
      </c>
    </row>
    <row r="668" spans="1:11" x14ac:dyDescent="0.35">
      <c r="A668">
        <v>667</v>
      </c>
      <c r="B668">
        <v>667</v>
      </c>
      <c r="C668">
        <v>10500</v>
      </c>
      <c r="D668" t="s">
        <v>11</v>
      </c>
      <c r="E668">
        <v>355.61381415760297</v>
      </c>
      <c r="F668">
        <v>463.79360669446402</v>
      </c>
      <c r="G668">
        <v>5.0946689679361903E-2</v>
      </c>
      <c r="H668">
        <v>2.5969286313695002E-2</v>
      </c>
      <c r="I668">
        <v>1.96180553689282</v>
      </c>
      <c r="J668">
        <v>4.9785128818688802E-2</v>
      </c>
      <c r="K668" s="6">
        <f t="shared" si="10"/>
        <v>7.2755162997153219E-2</v>
      </c>
    </row>
    <row r="669" spans="1:11" x14ac:dyDescent="0.35">
      <c r="A669">
        <v>668</v>
      </c>
      <c r="B669">
        <v>668</v>
      </c>
      <c r="C669">
        <v>11000</v>
      </c>
      <c r="D669" t="s">
        <v>11</v>
      </c>
      <c r="E669">
        <v>366.376684030896</v>
      </c>
      <c r="F669">
        <v>485.62743126094</v>
      </c>
      <c r="G669">
        <v>-3.35727073846635E-3</v>
      </c>
      <c r="H669">
        <v>2.5289777564246E-2</v>
      </c>
      <c r="I669">
        <v>-0.132752086487814</v>
      </c>
      <c r="J669">
        <v>0.89438944830961398</v>
      </c>
      <c r="K669" s="6">
        <f t="shared" si="10"/>
        <v>7.085146147732814E-2</v>
      </c>
    </row>
    <row r="670" spans="1:11" x14ac:dyDescent="0.35">
      <c r="A670">
        <v>669</v>
      </c>
      <c r="B670">
        <v>669</v>
      </c>
      <c r="C670">
        <v>11500</v>
      </c>
      <c r="D670" t="s">
        <v>11</v>
      </c>
      <c r="E670">
        <v>367.980388753905</v>
      </c>
      <c r="F670">
        <v>484.135489460153</v>
      </c>
      <c r="G670">
        <v>-5.1097009300815101E-3</v>
      </c>
      <c r="H670">
        <v>2.4629039404548698E-2</v>
      </c>
      <c r="I670">
        <v>-0.20746651325499199</v>
      </c>
      <c r="J670">
        <v>0.83564554226631604</v>
      </c>
      <c r="K670" s="6">
        <f t="shared" si="10"/>
        <v>6.9000347360192574E-2</v>
      </c>
    </row>
    <row r="671" spans="1:11" x14ac:dyDescent="0.35">
      <c r="A671">
        <v>670</v>
      </c>
      <c r="B671">
        <v>670</v>
      </c>
      <c r="C671">
        <v>12000</v>
      </c>
      <c r="D671" t="s">
        <v>11</v>
      </c>
      <c r="E671">
        <v>368.16474326810498</v>
      </c>
      <c r="F671">
        <v>494.30238203542501</v>
      </c>
      <c r="G671">
        <v>1.75739626604154E-3</v>
      </c>
      <c r="H671">
        <v>2.4187926056126699E-2</v>
      </c>
      <c r="I671">
        <v>7.2655930151415402E-2</v>
      </c>
      <c r="J671">
        <v>0.94207991845907002</v>
      </c>
      <c r="K671" s="6">
        <f t="shared" si="10"/>
        <v>6.7764530819953719E-2</v>
      </c>
    </row>
    <row r="672" spans="1:11" x14ac:dyDescent="0.35">
      <c r="A672">
        <v>671</v>
      </c>
      <c r="B672">
        <v>671</v>
      </c>
      <c r="C672">
        <v>12500</v>
      </c>
      <c r="D672" t="s">
        <v>11</v>
      </c>
      <c r="E672">
        <v>366.96864555148801</v>
      </c>
      <c r="F672">
        <v>498.02070781204498</v>
      </c>
      <c r="G672">
        <v>1.31170432346727E-2</v>
      </c>
      <c r="H672">
        <v>2.3927890728065001E-2</v>
      </c>
      <c r="I672">
        <v>0.54819053562827202</v>
      </c>
      <c r="J672">
        <v>0.58356108004760099</v>
      </c>
      <c r="K672" s="6">
        <f t="shared" si="10"/>
        <v>6.7036019745385991E-2</v>
      </c>
    </row>
    <row r="673" spans="1:11" x14ac:dyDescent="0.35">
      <c r="A673">
        <v>672</v>
      </c>
      <c r="B673">
        <v>672</v>
      </c>
      <c r="C673">
        <v>13000</v>
      </c>
      <c r="D673" t="s">
        <v>11</v>
      </c>
      <c r="E673">
        <v>364.48327531406102</v>
      </c>
      <c r="F673">
        <v>499.10736455556997</v>
      </c>
      <c r="G673">
        <v>3.3094216397013397E-2</v>
      </c>
      <c r="H673">
        <v>2.3409412527622901E-2</v>
      </c>
      <c r="I673">
        <v>1.41371409290867</v>
      </c>
      <c r="J673">
        <v>0.15744586577230599</v>
      </c>
      <c r="K673" s="6">
        <f t="shared" si="10"/>
        <v>6.5583458996200411E-2</v>
      </c>
    </row>
    <row r="674" spans="1:11" x14ac:dyDescent="0.35">
      <c r="A674">
        <v>673</v>
      </c>
      <c r="B674">
        <v>673</v>
      </c>
      <c r="C674">
        <v>13500</v>
      </c>
      <c r="D674" t="s">
        <v>11</v>
      </c>
      <c r="E674">
        <v>365.581902344333</v>
      </c>
      <c r="F674">
        <v>475.81672621757599</v>
      </c>
      <c r="G674">
        <v>2.6700604943316799E-2</v>
      </c>
      <c r="H674">
        <v>2.2869518299265399E-2</v>
      </c>
      <c r="I674">
        <v>1.1675193414184999</v>
      </c>
      <c r="J674">
        <v>0.24300070211685301</v>
      </c>
      <c r="K674" s="6">
        <f t="shared" si="10"/>
        <v>6.4070899424447464E-2</v>
      </c>
    </row>
    <row r="675" spans="1:11" x14ac:dyDescent="0.35">
      <c r="A675">
        <v>674</v>
      </c>
      <c r="B675">
        <v>674</v>
      </c>
      <c r="C675">
        <v>14000</v>
      </c>
      <c r="D675" t="s">
        <v>11</v>
      </c>
      <c r="E675">
        <v>369.47412687099097</v>
      </c>
      <c r="F675">
        <v>483.34091530989502</v>
      </c>
      <c r="G675">
        <v>1.0852429567481199E-2</v>
      </c>
      <c r="H675">
        <v>2.2556056209213401E-2</v>
      </c>
      <c r="I675">
        <v>0.48113151815291</v>
      </c>
      <c r="J675">
        <v>0.63042302864067301</v>
      </c>
      <c r="K675" s="6">
        <f t="shared" si="10"/>
        <v>6.3192708734889136E-2</v>
      </c>
    </row>
    <row r="676" spans="1:11" x14ac:dyDescent="0.35">
      <c r="A676">
        <v>675</v>
      </c>
      <c r="B676">
        <v>675</v>
      </c>
      <c r="C676">
        <v>1000</v>
      </c>
      <c r="D676" t="s">
        <v>11</v>
      </c>
      <c r="E676">
        <v>336.87631027253701</v>
      </c>
      <c r="F676">
        <v>408.30594812438397</v>
      </c>
      <c r="G676">
        <v>0.16266360331101101</v>
      </c>
      <c r="H676">
        <v>9.2132755882464307E-2</v>
      </c>
      <c r="I676">
        <v>1.76553497996439</v>
      </c>
      <c r="J676">
        <v>7.74738966898353E-2</v>
      </c>
      <c r="K676" s="6">
        <f t="shared" si="10"/>
        <v>0.25811774688897376</v>
      </c>
    </row>
    <row r="677" spans="1:11" x14ac:dyDescent="0.35">
      <c r="A677">
        <v>676</v>
      </c>
      <c r="B677">
        <v>676</v>
      </c>
      <c r="C677">
        <v>1500</v>
      </c>
      <c r="D677" t="s">
        <v>11</v>
      </c>
      <c r="E677">
        <v>367.39373297002697</v>
      </c>
      <c r="F677">
        <v>579.18542461476204</v>
      </c>
      <c r="G677">
        <v>7.7531508315678201E-3</v>
      </c>
      <c r="H677">
        <v>7.3542299598838304E-2</v>
      </c>
      <c r="I677">
        <v>0.105424373100379</v>
      </c>
      <c r="J677">
        <v>0.91603907688959196</v>
      </c>
      <c r="K677" s="6">
        <f t="shared" si="10"/>
        <v>0.20603500342161143</v>
      </c>
    </row>
    <row r="678" spans="1:11" x14ac:dyDescent="0.35">
      <c r="A678">
        <v>677</v>
      </c>
      <c r="B678">
        <v>677</v>
      </c>
      <c r="C678">
        <v>2000</v>
      </c>
      <c r="D678" t="s">
        <v>11</v>
      </c>
      <c r="E678">
        <v>364.75452716297798</v>
      </c>
      <c r="F678">
        <v>470.44527567664301</v>
      </c>
      <c r="G678">
        <v>4.0957118301128102E-2</v>
      </c>
      <c r="H678">
        <v>6.1580265632454598E-2</v>
      </c>
      <c r="I678">
        <v>0.66510135804842196</v>
      </c>
      <c r="J678">
        <v>0.50598566610470597</v>
      </c>
      <c r="K678" s="6">
        <f t="shared" si="10"/>
        <v>0.17252234849190032</v>
      </c>
    </row>
    <row r="679" spans="1:11" x14ac:dyDescent="0.35">
      <c r="A679">
        <v>678</v>
      </c>
      <c r="B679">
        <v>678</v>
      </c>
      <c r="C679">
        <v>2500</v>
      </c>
      <c r="D679" t="s">
        <v>11</v>
      </c>
      <c r="E679">
        <v>377.664233576642</v>
      </c>
      <c r="F679">
        <v>522.05262879745703</v>
      </c>
      <c r="G679">
        <v>-4.1422053803786697E-2</v>
      </c>
      <c r="H679">
        <v>5.5342331721582802E-2</v>
      </c>
      <c r="I679">
        <v>-0.74846961657079403</v>
      </c>
      <c r="J679">
        <v>0.45417694503273198</v>
      </c>
      <c r="K679" s="6">
        <f t="shared" si="10"/>
        <v>0.15504624641621056</v>
      </c>
    </row>
    <row r="680" spans="1:11" x14ac:dyDescent="0.35">
      <c r="A680">
        <v>679</v>
      </c>
      <c r="B680">
        <v>679</v>
      </c>
      <c r="C680">
        <v>3000</v>
      </c>
      <c r="D680" t="s">
        <v>11</v>
      </c>
      <c r="E680">
        <v>366.42485732403298</v>
      </c>
      <c r="F680">
        <v>503.098124559236</v>
      </c>
      <c r="G680">
        <v>5.6067005328953705E-4</v>
      </c>
      <c r="H680">
        <v>4.9818857665160803E-2</v>
      </c>
      <c r="I680">
        <v>1.1254173210029699E-2</v>
      </c>
      <c r="J680">
        <v>0.99102065850004994</v>
      </c>
      <c r="K680" s="6">
        <f t="shared" si="10"/>
        <v>0.13957176435184954</v>
      </c>
    </row>
    <row r="681" spans="1:11" x14ac:dyDescent="0.35">
      <c r="A681">
        <v>680</v>
      </c>
      <c r="B681">
        <v>680</v>
      </c>
      <c r="C681">
        <v>3500</v>
      </c>
      <c r="D681" t="s">
        <v>11</v>
      </c>
      <c r="E681">
        <v>376.377304147465</v>
      </c>
      <c r="F681">
        <v>548.334062687195</v>
      </c>
      <c r="G681">
        <v>-3.0884257349345998E-2</v>
      </c>
      <c r="H681">
        <v>4.6152311594611299E-2</v>
      </c>
      <c r="I681">
        <v>-0.66918115869524697</v>
      </c>
      <c r="J681">
        <v>0.50337992361524697</v>
      </c>
      <c r="K681" s="6">
        <f t="shared" si="10"/>
        <v>0.1292996238787891</v>
      </c>
    </row>
    <row r="682" spans="1:11" x14ac:dyDescent="0.35">
      <c r="A682">
        <v>681</v>
      </c>
      <c r="B682">
        <v>681</v>
      </c>
      <c r="C682">
        <v>4000</v>
      </c>
      <c r="D682" t="s">
        <v>11</v>
      </c>
      <c r="E682">
        <v>369.14174378957603</v>
      </c>
      <c r="F682">
        <v>518.47656571647701</v>
      </c>
      <c r="G682">
        <v>1.4501750228220101E-3</v>
      </c>
      <c r="H682">
        <v>4.2561227925686701E-2</v>
      </c>
      <c r="I682">
        <v>3.4072678197961503E-2</v>
      </c>
      <c r="J682">
        <v>0.97281919546976303</v>
      </c>
      <c r="K682" s="6">
        <f t="shared" si="10"/>
        <v>0.11923889773818498</v>
      </c>
    </row>
    <row r="683" spans="1:11" x14ac:dyDescent="0.35">
      <c r="A683">
        <v>682</v>
      </c>
      <c r="B683">
        <v>682</v>
      </c>
      <c r="C683">
        <v>4500</v>
      </c>
      <c r="D683" t="s">
        <v>11</v>
      </c>
      <c r="E683">
        <v>353.488859180036</v>
      </c>
      <c r="F683">
        <v>444.55977248943998</v>
      </c>
      <c r="G683">
        <v>7.3360409032818194E-2</v>
      </c>
      <c r="H683">
        <v>3.9965465399319798E-2</v>
      </c>
      <c r="I683">
        <v>1.8355950143412301</v>
      </c>
      <c r="J683">
        <v>6.6417575078850197E-2</v>
      </c>
      <c r="K683" s="6">
        <f t="shared" si="10"/>
        <v>0.11196664838075336</v>
      </c>
    </row>
    <row r="684" spans="1:11" x14ac:dyDescent="0.35">
      <c r="A684">
        <v>683</v>
      </c>
      <c r="B684">
        <v>683</v>
      </c>
      <c r="C684">
        <v>5000</v>
      </c>
      <c r="D684" t="s">
        <v>11</v>
      </c>
      <c r="E684">
        <v>363.00879648140699</v>
      </c>
      <c r="F684">
        <v>503.09804603336602</v>
      </c>
      <c r="G684">
        <v>2.1989776577710498E-3</v>
      </c>
      <c r="H684">
        <v>3.7755088707912603E-2</v>
      </c>
      <c r="I684">
        <v>5.8243212584750098E-2</v>
      </c>
      <c r="J684">
        <v>0.95355490045738001</v>
      </c>
      <c r="K684" s="6">
        <f t="shared" si="10"/>
        <v>0.10577409019775734</v>
      </c>
    </row>
    <row r="685" spans="1:11" x14ac:dyDescent="0.35">
      <c r="A685">
        <v>684</v>
      </c>
      <c r="B685">
        <v>684</v>
      </c>
      <c r="C685">
        <v>5500</v>
      </c>
      <c r="D685" t="s">
        <v>11</v>
      </c>
      <c r="E685">
        <v>361.94411764705899</v>
      </c>
      <c r="F685">
        <v>478.22331074664203</v>
      </c>
      <c r="G685">
        <v>3.2634193870356397E-2</v>
      </c>
      <c r="H685">
        <v>3.6046393032377402E-2</v>
      </c>
      <c r="I685">
        <v>0.90533867954677005</v>
      </c>
      <c r="J685">
        <v>0.36528599090530101</v>
      </c>
      <c r="K685" s="6">
        <f t="shared" si="10"/>
        <v>0.10098703402361306</v>
      </c>
    </row>
    <row r="686" spans="1:11" x14ac:dyDescent="0.35">
      <c r="A686">
        <v>685</v>
      </c>
      <c r="B686">
        <v>685</v>
      </c>
      <c r="C686">
        <v>6000</v>
      </c>
      <c r="D686" t="s">
        <v>11</v>
      </c>
      <c r="E686">
        <v>368.815254237288</v>
      </c>
      <c r="F686">
        <v>500.30369085547198</v>
      </c>
      <c r="G686">
        <v>1.9215680589469802E-2</v>
      </c>
      <c r="H686">
        <v>3.4811653809560597E-2</v>
      </c>
      <c r="I686">
        <v>0.55198987944067501</v>
      </c>
      <c r="J686">
        <v>0.580955287211528</v>
      </c>
      <c r="K686" s="6">
        <f t="shared" si="10"/>
        <v>9.7527807138057837E-2</v>
      </c>
    </row>
    <row r="687" spans="1:11" x14ac:dyDescent="0.35">
      <c r="A687">
        <v>686</v>
      </c>
      <c r="B687">
        <v>686</v>
      </c>
      <c r="C687">
        <v>6500</v>
      </c>
      <c r="D687" t="s">
        <v>11</v>
      </c>
      <c r="E687">
        <v>377.98065110565102</v>
      </c>
      <c r="F687">
        <v>485.03700391910297</v>
      </c>
      <c r="G687">
        <v>-2.6841324621992398E-2</v>
      </c>
      <c r="H687">
        <v>3.3290712108752799E-2</v>
      </c>
      <c r="I687">
        <v>-0.80627066595356101</v>
      </c>
      <c r="J687">
        <v>0.42008680058151898</v>
      </c>
      <c r="K687" s="6">
        <f t="shared" si="10"/>
        <v>9.3266759683200209E-2</v>
      </c>
    </row>
    <row r="688" spans="1:11" x14ac:dyDescent="0.35">
      <c r="A688">
        <v>687</v>
      </c>
      <c r="B688">
        <v>687</v>
      </c>
      <c r="C688">
        <v>7000</v>
      </c>
      <c r="D688" t="s">
        <v>11</v>
      </c>
      <c r="E688">
        <v>378.09072345390899</v>
      </c>
      <c r="F688">
        <v>506.52050858351299</v>
      </c>
      <c r="G688">
        <v>-3.4295389095976798E-2</v>
      </c>
      <c r="H688">
        <v>3.1869942418380398E-2</v>
      </c>
      <c r="I688">
        <v>-1.0761045202327599</v>
      </c>
      <c r="J688">
        <v>0.28188051430919903</v>
      </c>
      <c r="K688" s="6">
        <f t="shared" si="10"/>
        <v>8.9286352630198254E-2</v>
      </c>
    </row>
    <row r="689" spans="1:11" x14ac:dyDescent="0.35">
      <c r="A689">
        <v>688</v>
      </c>
      <c r="B689">
        <v>688</v>
      </c>
      <c r="C689">
        <v>7500</v>
      </c>
      <c r="D689" t="s">
        <v>11</v>
      </c>
      <c r="E689">
        <v>356.70239698357102</v>
      </c>
      <c r="F689">
        <v>466.281346058677</v>
      </c>
      <c r="G689">
        <v>7.0187487636373003E-2</v>
      </c>
      <c r="H689">
        <v>3.06818999649301E-2</v>
      </c>
      <c r="I689">
        <v>2.2875860920151099</v>
      </c>
      <c r="J689">
        <v>2.21616365965869E-2</v>
      </c>
      <c r="K689" s="6">
        <f t="shared" si="10"/>
        <v>8.5957950713248701E-2</v>
      </c>
    </row>
    <row r="690" spans="1:11" x14ac:dyDescent="0.35">
      <c r="A690">
        <v>689</v>
      </c>
      <c r="B690">
        <v>689</v>
      </c>
      <c r="C690">
        <v>8000</v>
      </c>
      <c r="D690" t="s">
        <v>11</v>
      </c>
      <c r="E690">
        <v>364.09769539078201</v>
      </c>
      <c r="F690">
        <v>491.66171018143302</v>
      </c>
      <c r="G690">
        <v>3.6686856180966697E-2</v>
      </c>
      <c r="H690">
        <v>2.9906382218360301E-2</v>
      </c>
      <c r="I690">
        <v>1.22672330986406</v>
      </c>
      <c r="J690">
        <v>0.219926603526828</v>
      </c>
      <c r="K690" s="6">
        <f t="shared" si="10"/>
        <v>8.378527182722495E-2</v>
      </c>
    </row>
    <row r="691" spans="1:11" x14ac:dyDescent="0.35">
      <c r="A691">
        <v>690</v>
      </c>
      <c r="B691">
        <v>690</v>
      </c>
      <c r="C691">
        <v>8500</v>
      </c>
      <c r="D691" t="s">
        <v>11</v>
      </c>
      <c r="E691">
        <v>377.38823529411798</v>
      </c>
      <c r="F691">
        <v>525.10552826860896</v>
      </c>
      <c r="G691">
        <v>-3.2220000187903802E-2</v>
      </c>
      <c r="H691">
        <v>2.90022533483121E-2</v>
      </c>
      <c r="I691">
        <v>-1.1109481667147401</v>
      </c>
      <c r="J691">
        <v>0.266590660964794</v>
      </c>
      <c r="K691" s="6">
        <f t="shared" si="10"/>
        <v>8.1252277946830959E-2</v>
      </c>
    </row>
    <row r="692" spans="1:11" x14ac:dyDescent="0.35">
      <c r="A692">
        <v>691</v>
      </c>
      <c r="B692">
        <v>691</v>
      </c>
      <c r="C692">
        <v>9000</v>
      </c>
      <c r="D692" t="s">
        <v>11</v>
      </c>
      <c r="E692">
        <v>372.03864840989399</v>
      </c>
      <c r="F692">
        <v>494.93561068329802</v>
      </c>
      <c r="G692">
        <v>-1.48912334546932E-2</v>
      </c>
      <c r="H692">
        <v>2.8168800831874299E-2</v>
      </c>
      <c r="I692">
        <v>-0.52864278971517598</v>
      </c>
      <c r="J692">
        <v>0.59705327101695704</v>
      </c>
      <c r="K692" s="6">
        <f t="shared" si="10"/>
        <v>7.8917289878566568E-2</v>
      </c>
    </row>
    <row r="693" spans="1:11" x14ac:dyDescent="0.35">
      <c r="A693">
        <v>692</v>
      </c>
      <c r="B693">
        <v>692</v>
      </c>
      <c r="C693">
        <v>9500</v>
      </c>
      <c r="D693" t="s">
        <v>11</v>
      </c>
      <c r="E693">
        <v>369.22445019404898</v>
      </c>
      <c r="F693">
        <v>481.86063417461901</v>
      </c>
      <c r="G693">
        <v>-1.8397272468741999E-2</v>
      </c>
      <c r="H693">
        <v>2.7362825288619601E-2</v>
      </c>
      <c r="I693">
        <v>-0.67234550068166798</v>
      </c>
      <c r="J693">
        <v>0.50136376943329697</v>
      </c>
      <c r="K693" s="6">
        <f t="shared" si="10"/>
        <v>7.6659280886217346E-2</v>
      </c>
    </row>
    <row r="694" spans="1:11" x14ac:dyDescent="0.35">
      <c r="A694">
        <v>693</v>
      </c>
      <c r="B694">
        <v>693</v>
      </c>
      <c r="C694">
        <v>10000</v>
      </c>
      <c r="D694" t="s">
        <v>11</v>
      </c>
      <c r="E694">
        <v>363.98880671596999</v>
      </c>
      <c r="F694">
        <v>503.74440989695802</v>
      </c>
      <c r="G694">
        <v>4.5331973819221199E-3</v>
      </c>
      <c r="H694">
        <v>2.6779798727016E-2</v>
      </c>
      <c r="I694">
        <v>0.169276753277049</v>
      </c>
      <c r="J694">
        <v>0.86557896029607095</v>
      </c>
      <c r="K694" s="6">
        <f t="shared" si="10"/>
        <v>7.5025882416627124E-2</v>
      </c>
    </row>
    <row r="695" spans="1:11" x14ac:dyDescent="0.35">
      <c r="A695">
        <v>694</v>
      </c>
      <c r="B695">
        <v>694</v>
      </c>
      <c r="C695">
        <v>10500</v>
      </c>
      <c r="D695" t="s">
        <v>11</v>
      </c>
      <c r="E695">
        <v>360.990436113236</v>
      </c>
      <c r="F695">
        <v>471.69488909574198</v>
      </c>
      <c r="G695">
        <v>2.1465463477209502E-2</v>
      </c>
      <c r="H695">
        <v>2.5993395148182798E-2</v>
      </c>
      <c r="I695">
        <v>0.82580453052937097</v>
      </c>
      <c r="J695">
        <v>0.408914983677021</v>
      </c>
      <c r="K695" s="6">
        <f t="shared" si="10"/>
        <v>7.2822705946221714E-2</v>
      </c>
    </row>
    <row r="696" spans="1:11" x14ac:dyDescent="0.35">
      <c r="A696">
        <v>695</v>
      </c>
      <c r="B696">
        <v>695</v>
      </c>
      <c r="C696">
        <v>11000</v>
      </c>
      <c r="D696" t="s">
        <v>11</v>
      </c>
      <c r="E696">
        <v>365.11569947243999</v>
      </c>
      <c r="F696">
        <v>491.37301109132397</v>
      </c>
      <c r="G696">
        <v>3.5767097664446499E-3</v>
      </c>
      <c r="H696">
        <v>2.52894055883775E-2</v>
      </c>
      <c r="I696">
        <v>0.141431152027094</v>
      </c>
      <c r="J696">
        <v>0.88752934584724397</v>
      </c>
      <c r="K696" s="6">
        <f t="shared" si="10"/>
        <v>7.0850419355314581E-2</v>
      </c>
    </row>
    <row r="697" spans="1:11" x14ac:dyDescent="0.35">
      <c r="A697">
        <v>696</v>
      </c>
      <c r="B697">
        <v>696</v>
      </c>
      <c r="C697">
        <v>11500</v>
      </c>
      <c r="D697" t="s">
        <v>11</v>
      </c>
      <c r="E697">
        <v>362.68193649141102</v>
      </c>
      <c r="F697">
        <v>474.59507759360798</v>
      </c>
      <c r="G697">
        <v>2.3826243296353099E-2</v>
      </c>
      <c r="H697">
        <v>2.46214865785566E-2</v>
      </c>
      <c r="I697">
        <v>0.96770124827084703</v>
      </c>
      <c r="J697">
        <v>0.333193594534542</v>
      </c>
      <c r="K697" s="6">
        <f t="shared" si="10"/>
        <v>6.8979187476185491E-2</v>
      </c>
    </row>
    <row r="698" spans="1:11" x14ac:dyDescent="0.35">
      <c r="A698">
        <v>697</v>
      </c>
      <c r="B698">
        <v>697</v>
      </c>
      <c r="C698">
        <v>12000</v>
      </c>
      <c r="D698" t="s">
        <v>11</v>
      </c>
      <c r="E698">
        <v>366.86545639633499</v>
      </c>
      <c r="F698">
        <v>483.90921883461198</v>
      </c>
      <c r="G698">
        <v>8.6631802515861698E-3</v>
      </c>
      <c r="H698">
        <v>2.4184026876435401E-2</v>
      </c>
      <c r="I698">
        <v>0.35821909625925202</v>
      </c>
      <c r="J698">
        <v>0.72017935746716399</v>
      </c>
      <c r="K698" s="6">
        <f t="shared" si="10"/>
        <v>6.7753606936618277E-2</v>
      </c>
    </row>
    <row r="699" spans="1:11" x14ac:dyDescent="0.35">
      <c r="A699">
        <v>698</v>
      </c>
      <c r="B699">
        <v>698</v>
      </c>
      <c r="C699">
        <v>12500</v>
      </c>
      <c r="D699" t="s">
        <v>11</v>
      </c>
      <c r="E699">
        <v>365.46372189443503</v>
      </c>
      <c r="F699">
        <v>492.91741198637999</v>
      </c>
      <c r="G699">
        <v>2.1267962002214501E-2</v>
      </c>
      <c r="H699">
        <v>2.3928408360640901E-2</v>
      </c>
      <c r="I699">
        <v>0.88881640941892104</v>
      </c>
      <c r="J699">
        <v>0.37410175542611501</v>
      </c>
      <c r="K699" s="6">
        <f t="shared" si="10"/>
        <v>6.7037469937046137E-2</v>
      </c>
    </row>
    <row r="700" spans="1:11" x14ac:dyDescent="0.35">
      <c r="A700">
        <v>699</v>
      </c>
      <c r="B700">
        <v>699</v>
      </c>
      <c r="C700">
        <v>13000</v>
      </c>
      <c r="D700" t="s">
        <v>11</v>
      </c>
      <c r="E700">
        <v>378.41195402298803</v>
      </c>
      <c r="F700">
        <v>492.642559775922</v>
      </c>
      <c r="G700">
        <v>-4.2804950847571202E-2</v>
      </c>
      <c r="H700">
        <v>2.3432463038514501E-2</v>
      </c>
      <c r="I700">
        <v>-1.8267371542298101</v>
      </c>
      <c r="J700">
        <v>6.7739299071235895E-2</v>
      </c>
      <c r="K700" s="6">
        <f t="shared" si="10"/>
        <v>6.5648036961756653E-2</v>
      </c>
    </row>
    <row r="701" spans="1:11" x14ac:dyDescent="0.35">
      <c r="A701">
        <v>700</v>
      </c>
      <c r="B701">
        <v>700</v>
      </c>
      <c r="C701">
        <v>13500</v>
      </c>
      <c r="D701" t="s">
        <v>11</v>
      </c>
      <c r="E701">
        <v>371.56705604021897</v>
      </c>
      <c r="F701">
        <v>491.00335381197903</v>
      </c>
      <c r="G701">
        <v>-5.4072909237908896E-3</v>
      </c>
      <c r="H701">
        <v>2.2892848695706201E-2</v>
      </c>
      <c r="I701">
        <v>-0.23620000270237601</v>
      </c>
      <c r="J701">
        <v>0.81327747742049294</v>
      </c>
      <c r="K701" s="6">
        <f t="shared" si="10"/>
        <v>6.4136261513160056E-2</v>
      </c>
    </row>
    <row r="702" spans="1:11" x14ac:dyDescent="0.35">
      <c r="A702">
        <v>701</v>
      </c>
      <c r="B702">
        <v>701</v>
      </c>
      <c r="C702">
        <v>14000</v>
      </c>
      <c r="D702" t="s">
        <v>11</v>
      </c>
      <c r="E702">
        <v>366.961961961962</v>
      </c>
      <c r="F702">
        <v>489.59364891573301</v>
      </c>
      <c r="G702">
        <v>2.43313260562333E-2</v>
      </c>
      <c r="H702">
        <v>2.2556708212811201E-2</v>
      </c>
      <c r="I702">
        <v>1.0786736179179801</v>
      </c>
      <c r="J702">
        <v>0.28073325047763098</v>
      </c>
      <c r="K702" s="6">
        <f t="shared" si="10"/>
        <v>6.3194535378388678E-2</v>
      </c>
    </row>
    <row r="703" spans="1:11" x14ac:dyDescent="0.35">
      <c r="A703">
        <v>702</v>
      </c>
      <c r="B703">
        <v>702</v>
      </c>
      <c r="C703">
        <v>1000</v>
      </c>
      <c r="D703" t="s">
        <v>11</v>
      </c>
      <c r="E703">
        <v>359.36614173228298</v>
      </c>
      <c r="F703">
        <v>606.05342441881999</v>
      </c>
      <c r="G703">
        <v>4.7666176744035199E-2</v>
      </c>
      <c r="H703">
        <v>9.6260330535577907E-2</v>
      </c>
      <c r="I703">
        <v>0.49517985736001402</v>
      </c>
      <c r="J703">
        <v>0.62047316766376304</v>
      </c>
      <c r="K703" s="6">
        <f t="shared" si="10"/>
        <v>0.26968149812351705</v>
      </c>
    </row>
    <row r="704" spans="1:11" x14ac:dyDescent="0.35">
      <c r="A704">
        <v>703</v>
      </c>
      <c r="B704">
        <v>703</v>
      </c>
      <c r="C704">
        <v>1500</v>
      </c>
      <c r="D704" t="s">
        <v>11</v>
      </c>
      <c r="E704">
        <v>370.81793478260897</v>
      </c>
      <c r="F704">
        <v>565.60178006250896</v>
      </c>
      <c r="G704">
        <v>-1.04527877342095E-2</v>
      </c>
      <c r="H704">
        <v>7.3263694408232993E-2</v>
      </c>
      <c r="I704">
        <v>-0.14267350041025101</v>
      </c>
      <c r="J704">
        <v>0.88654804618644401</v>
      </c>
      <c r="K704" s="6">
        <f t="shared" si="10"/>
        <v>0.20525446729868946</v>
      </c>
    </row>
    <row r="705" spans="1:11" x14ac:dyDescent="0.35">
      <c r="A705">
        <v>704</v>
      </c>
      <c r="B705">
        <v>704</v>
      </c>
      <c r="C705">
        <v>2000</v>
      </c>
      <c r="D705" t="s">
        <v>11</v>
      </c>
      <c r="E705">
        <v>384.51359223301</v>
      </c>
      <c r="F705">
        <v>551.67284014676397</v>
      </c>
      <c r="G705">
        <v>-6.7018373214534799E-2</v>
      </c>
      <c r="H705">
        <v>6.1421528472191601E-2</v>
      </c>
      <c r="I705">
        <v>-1.0911218734140899</v>
      </c>
      <c r="J705">
        <v>0.27521925924165402</v>
      </c>
      <c r="K705" s="6">
        <f t="shared" si="10"/>
        <v>0.17207763284476493</v>
      </c>
    </row>
    <row r="706" spans="1:11" x14ac:dyDescent="0.35">
      <c r="A706">
        <v>705</v>
      </c>
      <c r="B706">
        <v>705</v>
      </c>
      <c r="C706">
        <v>2500</v>
      </c>
      <c r="D706" t="s">
        <v>11</v>
      </c>
      <c r="E706">
        <v>381.03025477707001</v>
      </c>
      <c r="F706">
        <v>515.39791215027196</v>
      </c>
      <c r="G706">
        <v>-6.0508489071013603E-2</v>
      </c>
      <c r="H706">
        <v>5.5405099866438698E-2</v>
      </c>
      <c r="I706">
        <v>-1.0921104594500699</v>
      </c>
      <c r="J706">
        <v>0.27478455260569701</v>
      </c>
      <c r="K706" s="6">
        <f t="shared" si="10"/>
        <v>0.15522209670931666</v>
      </c>
    </row>
    <row r="707" spans="1:11" x14ac:dyDescent="0.35">
      <c r="A707">
        <v>706</v>
      </c>
      <c r="B707">
        <v>706</v>
      </c>
      <c r="C707">
        <v>3000</v>
      </c>
      <c r="D707" t="s">
        <v>11</v>
      </c>
      <c r="E707">
        <v>362.59353970390299</v>
      </c>
      <c r="F707">
        <v>479.01513475592799</v>
      </c>
      <c r="G707">
        <v>2.1242887134491802E-2</v>
      </c>
      <c r="H707">
        <v>4.9731301074168899E-2</v>
      </c>
      <c r="I707">
        <v>0.42715325510608099</v>
      </c>
      <c r="J707">
        <v>0.66926770601139596</v>
      </c>
      <c r="K707" s="6">
        <f t="shared" ref="K707:K770" si="11">H707*2.801585</f>
        <v>0.13932646711987548</v>
      </c>
    </row>
    <row r="708" spans="1:11" x14ac:dyDescent="0.35">
      <c r="A708">
        <v>707</v>
      </c>
      <c r="B708">
        <v>707</v>
      </c>
      <c r="C708">
        <v>3500</v>
      </c>
      <c r="D708" t="s">
        <v>11</v>
      </c>
      <c r="E708">
        <v>375.10499719258797</v>
      </c>
      <c r="F708">
        <v>490.86454078122398</v>
      </c>
      <c r="G708">
        <v>-2.4710936061707E-2</v>
      </c>
      <c r="H708">
        <v>4.6329141994002197E-2</v>
      </c>
      <c r="I708">
        <v>-0.53337780494415499</v>
      </c>
      <c r="J708">
        <v>0.593772078424601</v>
      </c>
      <c r="K708" s="6">
        <f t="shared" si="11"/>
        <v>0.12979502927326667</v>
      </c>
    </row>
    <row r="709" spans="1:11" x14ac:dyDescent="0.35">
      <c r="A709">
        <v>708</v>
      </c>
      <c r="B709">
        <v>708</v>
      </c>
      <c r="C709">
        <v>4000</v>
      </c>
      <c r="D709" t="s">
        <v>11</v>
      </c>
      <c r="E709">
        <v>381.08184523809501</v>
      </c>
      <c r="F709">
        <v>510.28206839728301</v>
      </c>
      <c r="G709">
        <v>-6.3781530050396898E-2</v>
      </c>
      <c r="H709">
        <v>4.2632325128846502E-2</v>
      </c>
      <c r="I709">
        <v>-1.4960837781573399</v>
      </c>
      <c r="J709">
        <v>0.13463182462739401</v>
      </c>
      <c r="K709" s="6">
        <f t="shared" si="11"/>
        <v>0.11943808259609943</v>
      </c>
    </row>
    <row r="710" spans="1:11" x14ac:dyDescent="0.35">
      <c r="A710">
        <v>709</v>
      </c>
      <c r="B710">
        <v>709</v>
      </c>
      <c r="C710">
        <v>4500</v>
      </c>
      <c r="D710" t="s">
        <v>11</v>
      </c>
      <c r="E710">
        <v>365.45385304659499</v>
      </c>
      <c r="F710">
        <v>510.00173106238202</v>
      </c>
      <c r="G710">
        <v>8.2420660995136397E-3</v>
      </c>
      <c r="H710">
        <v>4.0229906237404897E-2</v>
      </c>
      <c r="I710">
        <v>0.204874106613014</v>
      </c>
      <c r="J710">
        <v>0.83767048603282801</v>
      </c>
      <c r="K710" s="6">
        <f t="shared" si="11"/>
        <v>0.11270750186612001</v>
      </c>
    </row>
    <row r="711" spans="1:11" x14ac:dyDescent="0.35">
      <c r="A711">
        <v>710</v>
      </c>
      <c r="B711">
        <v>710</v>
      </c>
      <c r="C711">
        <v>5000</v>
      </c>
      <c r="D711" t="s">
        <v>11</v>
      </c>
      <c r="E711">
        <v>373.91845664279998</v>
      </c>
      <c r="F711">
        <v>514.20551735685206</v>
      </c>
      <c r="G711">
        <v>-5.8194342084888301E-2</v>
      </c>
      <c r="H711">
        <v>3.76402251819399E-2</v>
      </c>
      <c r="I711">
        <v>-1.54606785170909</v>
      </c>
      <c r="J711">
        <v>0.122088181895571</v>
      </c>
      <c r="K711" s="6">
        <f t="shared" si="11"/>
        <v>0.1054522902663451</v>
      </c>
    </row>
    <row r="712" spans="1:11" x14ac:dyDescent="0.35">
      <c r="A712">
        <v>711</v>
      </c>
      <c r="B712">
        <v>711</v>
      </c>
      <c r="C712">
        <v>5500</v>
      </c>
      <c r="D712" t="s">
        <v>11</v>
      </c>
      <c r="E712">
        <v>379.97581227436802</v>
      </c>
      <c r="F712">
        <v>508.029321750772</v>
      </c>
      <c r="G712">
        <v>-6.5528825507166502E-2</v>
      </c>
      <c r="H712">
        <v>3.6043109991798501E-2</v>
      </c>
      <c r="I712">
        <v>-1.8180680169407499</v>
      </c>
      <c r="J712">
        <v>6.9053737605572402E-2</v>
      </c>
      <c r="K712" s="6">
        <f t="shared" si="11"/>
        <v>0.10097783630637282</v>
      </c>
    </row>
    <row r="713" spans="1:11" x14ac:dyDescent="0.35">
      <c r="A713">
        <v>712</v>
      </c>
      <c r="B713">
        <v>712</v>
      </c>
      <c r="C713">
        <v>6000</v>
      </c>
      <c r="D713" t="s">
        <v>11</v>
      </c>
      <c r="E713">
        <v>376.63958401039997</v>
      </c>
      <c r="F713">
        <v>513.51099378132801</v>
      </c>
      <c r="G713">
        <v>-2.3083074023444401E-2</v>
      </c>
      <c r="H713">
        <v>3.4772489829741002E-2</v>
      </c>
      <c r="I713">
        <v>-0.66383149830419597</v>
      </c>
      <c r="J713">
        <v>0.506798163353811</v>
      </c>
      <c r="K713" s="6">
        <f t="shared" si="11"/>
        <v>9.7418085919654951E-2</v>
      </c>
    </row>
    <row r="714" spans="1:11" x14ac:dyDescent="0.35">
      <c r="A714">
        <v>713</v>
      </c>
      <c r="B714">
        <v>713</v>
      </c>
      <c r="C714">
        <v>6500</v>
      </c>
      <c r="D714" t="s">
        <v>11</v>
      </c>
      <c r="E714">
        <v>368.549399815328</v>
      </c>
      <c r="F714">
        <v>484.320370372799</v>
      </c>
      <c r="G714">
        <v>2.3776189831731801E-2</v>
      </c>
      <c r="H714">
        <v>3.3233146305331501E-2</v>
      </c>
      <c r="I714">
        <v>0.715436017200618</v>
      </c>
      <c r="J714">
        <v>0.47433966357198998</v>
      </c>
      <c r="K714" s="6">
        <f t="shared" si="11"/>
        <v>9.3105484191822158E-2</v>
      </c>
    </row>
    <row r="715" spans="1:11" x14ac:dyDescent="0.35">
      <c r="A715">
        <v>714</v>
      </c>
      <c r="B715">
        <v>714</v>
      </c>
      <c r="C715">
        <v>7000</v>
      </c>
      <c r="D715" t="s">
        <v>11</v>
      </c>
      <c r="E715">
        <v>373.48208655775301</v>
      </c>
      <c r="F715">
        <v>483.62197744437202</v>
      </c>
      <c r="G715">
        <v>-1.01725519840346E-2</v>
      </c>
      <c r="H715">
        <v>3.1872372038885897E-2</v>
      </c>
      <c r="I715">
        <v>-0.319165199616257</v>
      </c>
      <c r="J715">
        <v>0.74960124467056599</v>
      </c>
      <c r="K715" s="6">
        <f t="shared" si="11"/>
        <v>8.9293159418562154E-2</v>
      </c>
    </row>
    <row r="716" spans="1:11" x14ac:dyDescent="0.35">
      <c r="A716">
        <v>715</v>
      </c>
      <c r="B716">
        <v>715</v>
      </c>
      <c r="C716">
        <v>7500</v>
      </c>
      <c r="D716" t="s">
        <v>11</v>
      </c>
      <c r="E716">
        <v>375.46361690743697</v>
      </c>
      <c r="F716">
        <v>514.33927821036002</v>
      </c>
      <c r="G716">
        <v>-3.0544096784448901E-2</v>
      </c>
      <c r="H716">
        <v>3.0725891623107199E-2</v>
      </c>
      <c r="I716">
        <v>-0.99408333398788595</v>
      </c>
      <c r="J716">
        <v>0.32018229839064799</v>
      </c>
      <c r="K716" s="6">
        <f t="shared" si="11"/>
        <v>8.6081197082922792E-2</v>
      </c>
    </row>
    <row r="717" spans="1:11" x14ac:dyDescent="0.35">
      <c r="A717">
        <v>716</v>
      </c>
      <c r="B717">
        <v>716</v>
      </c>
      <c r="C717">
        <v>8000</v>
      </c>
      <c r="D717" t="s">
        <v>11</v>
      </c>
      <c r="E717">
        <v>366.56284153005498</v>
      </c>
      <c r="F717">
        <v>475.15190081172199</v>
      </c>
      <c r="G717">
        <v>2.36152736877718E-2</v>
      </c>
      <c r="H717">
        <v>2.9890216249020801E-2</v>
      </c>
      <c r="I717">
        <v>0.79006700691051301</v>
      </c>
      <c r="J717">
        <v>0.42948863682078597</v>
      </c>
      <c r="K717" s="6">
        <f t="shared" si="11"/>
        <v>8.3739981490012952E-2</v>
      </c>
    </row>
    <row r="718" spans="1:11" x14ac:dyDescent="0.35">
      <c r="A718">
        <v>717</v>
      </c>
      <c r="B718">
        <v>717</v>
      </c>
      <c r="C718">
        <v>8500</v>
      </c>
      <c r="D718" t="s">
        <v>11</v>
      </c>
      <c r="E718">
        <v>373.19367967440701</v>
      </c>
      <c r="F718">
        <v>501.80772168091198</v>
      </c>
      <c r="G718">
        <v>-9.46642460235767E-3</v>
      </c>
      <c r="H718">
        <v>2.9053961579535902E-2</v>
      </c>
      <c r="I718">
        <v>-0.32582216288966698</v>
      </c>
      <c r="J718">
        <v>0.74455890940396696</v>
      </c>
      <c r="K718" s="6">
        <f t="shared" si="11"/>
        <v>8.13971429518041E-2</v>
      </c>
    </row>
    <row r="719" spans="1:11" x14ac:dyDescent="0.35">
      <c r="A719">
        <v>718</v>
      </c>
      <c r="B719">
        <v>718</v>
      </c>
      <c r="C719">
        <v>9000</v>
      </c>
      <c r="D719" t="s">
        <v>11</v>
      </c>
      <c r="E719">
        <v>375.51052048726501</v>
      </c>
      <c r="F719">
        <v>523.82130448038401</v>
      </c>
      <c r="G719">
        <v>-3.3717212252656101E-2</v>
      </c>
      <c r="H719">
        <v>2.8106470264398501E-2</v>
      </c>
      <c r="I719">
        <v>-1.19962456813243</v>
      </c>
      <c r="J719">
        <v>0.230285180555896</v>
      </c>
      <c r="K719" s="6">
        <f t="shared" si="11"/>
        <v>7.8742665495684885E-2</v>
      </c>
    </row>
    <row r="720" spans="1:11" x14ac:dyDescent="0.35">
      <c r="A720">
        <v>719</v>
      </c>
      <c r="B720">
        <v>719</v>
      </c>
      <c r="C720">
        <v>9500</v>
      </c>
      <c r="D720" t="s">
        <v>11</v>
      </c>
      <c r="E720">
        <v>371.07580543272297</v>
      </c>
      <c r="F720">
        <v>511.07085378494003</v>
      </c>
      <c r="G720">
        <v>-2.8953240324190801E-2</v>
      </c>
      <c r="H720">
        <v>2.7342532915676201E-2</v>
      </c>
      <c r="I720">
        <v>-1.0589084929871699</v>
      </c>
      <c r="J720">
        <v>0.28964145600277702</v>
      </c>
      <c r="K720" s="6">
        <f t="shared" si="11"/>
        <v>7.6602430078564709E-2</v>
      </c>
    </row>
    <row r="721" spans="1:11" x14ac:dyDescent="0.35">
      <c r="A721">
        <v>720</v>
      </c>
      <c r="B721">
        <v>720</v>
      </c>
      <c r="C721">
        <v>10000</v>
      </c>
      <c r="D721" t="s">
        <v>11</v>
      </c>
      <c r="E721">
        <v>360.41572807723298</v>
      </c>
      <c r="F721">
        <v>472.13992861090202</v>
      </c>
      <c r="G721">
        <v>2.3987354494969599E-2</v>
      </c>
      <c r="H721">
        <v>2.6754938756273199E-2</v>
      </c>
      <c r="I721">
        <v>0.89655800424305898</v>
      </c>
      <c r="J721">
        <v>0.36995481576338701</v>
      </c>
      <c r="K721" s="6">
        <f t="shared" si="11"/>
        <v>7.4956235095493651E-2</v>
      </c>
    </row>
    <row r="722" spans="1:11" x14ac:dyDescent="0.35">
      <c r="A722">
        <v>721</v>
      </c>
      <c r="B722">
        <v>721</v>
      </c>
      <c r="C722">
        <v>10500</v>
      </c>
      <c r="D722" t="s">
        <v>11</v>
      </c>
      <c r="E722">
        <v>365.68962191358003</v>
      </c>
      <c r="F722">
        <v>486.46315982368998</v>
      </c>
      <c r="G722">
        <v>-4.1485132005367803E-3</v>
      </c>
      <c r="H722">
        <v>2.6011034387274201E-2</v>
      </c>
      <c r="I722">
        <v>-0.159490512325278</v>
      </c>
      <c r="J722">
        <v>0.87328243270988903</v>
      </c>
      <c r="K722" s="6">
        <f t="shared" si="11"/>
        <v>7.2872123773871603E-2</v>
      </c>
    </row>
    <row r="723" spans="1:11" x14ac:dyDescent="0.35">
      <c r="A723">
        <v>722</v>
      </c>
      <c r="B723">
        <v>722</v>
      </c>
      <c r="C723">
        <v>11000</v>
      </c>
      <c r="D723" t="s">
        <v>11</v>
      </c>
      <c r="E723">
        <v>364.50162162162201</v>
      </c>
      <c r="F723">
        <v>489.12325774764702</v>
      </c>
      <c r="G723">
        <v>6.9998206393287396E-3</v>
      </c>
      <c r="H723">
        <v>2.5285070580790499E-2</v>
      </c>
      <c r="I723">
        <v>0.27683611232023297</v>
      </c>
      <c r="J723">
        <v>0.78190595078840996</v>
      </c>
      <c r="K723" s="6">
        <f t="shared" si="11"/>
        <v>7.0838274463083953E-2</v>
      </c>
    </row>
    <row r="724" spans="1:11" x14ac:dyDescent="0.35">
      <c r="A724">
        <v>723</v>
      </c>
      <c r="B724">
        <v>723</v>
      </c>
      <c r="C724">
        <v>11500</v>
      </c>
      <c r="D724" t="s">
        <v>11</v>
      </c>
      <c r="E724">
        <v>361.48335621139302</v>
      </c>
      <c r="F724">
        <v>489.22938520506898</v>
      </c>
      <c r="G724">
        <v>3.0715602868087499E-2</v>
      </c>
      <c r="H724">
        <v>2.4628185931570099E-2</v>
      </c>
      <c r="I724">
        <v>1.2471727699892901</v>
      </c>
      <c r="J724">
        <v>0.212334155002253</v>
      </c>
      <c r="K724" s="6">
        <f t="shared" si="11"/>
        <v>6.8997956283097822E-2</v>
      </c>
    </row>
    <row r="725" spans="1:11" x14ac:dyDescent="0.35">
      <c r="A725">
        <v>724</v>
      </c>
      <c r="B725">
        <v>724</v>
      </c>
      <c r="C725">
        <v>12000</v>
      </c>
      <c r="D725" t="s">
        <v>11</v>
      </c>
      <c r="E725">
        <v>371.48997995991999</v>
      </c>
      <c r="F725">
        <v>495.52723310674401</v>
      </c>
      <c r="G725">
        <v>-1.6251972112924801E-2</v>
      </c>
      <c r="H725">
        <v>2.4181551965619899E-2</v>
      </c>
      <c r="I725">
        <v>-0.67208143364954298</v>
      </c>
      <c r="J725">
        <v>0.50153185550058799</v>
      </c>
      <c r="K725" s="6">
        <f t="shared" si="11"/>
        <v>6.7746673263601231E-2</v>
      </c>
    </row>
    <row r="726" spans="1:11" x14ac:dyDescent="0.35">
      <c r="A726">
        <v>725</v>
      </c>
      <c r="B726">
        <v>725</v>
      </c>
      <c r="C726">
        <v>12500</v>
      </c>
      <c r="D726" t="s">
        <v>11</v>
      </c>
      <c r="E726">
        <v>368.787034137175</v>
      </c>
      <c r="F726">
        <v>504.95289938539599</v>
      </c>
      <c r="G726">
        <v>3.2735037084153399E-3</v>
      </c>
      <c r="H726">
        <v>2.3909488818030102E-2</v>
      </c>
      <c r="I726">
        <v>0.136912325199809</v>
      </c>
      <c r="J726">
        <v>0.89110009648106703</v>
      </c>
      <c r="K726" s="6">
        <f t="shared" si="11"/>
        <v>6.6984465230260873E-2</v>
      </c>
    </row>
    <row r="727" spans="1:11" x14ac:dyDescent="0.35">
      <c r="A727">
        <v>726</v>
      </c>
      <c r="B727">
        <v>726</v>
      </c>
      <c r="C727">
        <v>13000</v>
      </c>
      <c r="D727" t="s">
        <v>11</v>
      </c>
      <c r="E727">
        <v>374.80692614158698</v>
      </c>
      <c r="F727">
        <v>509.03442223810902</v>
      </c>
      <c r="G727">
        <v>-2.3265901748953498E-2</v>
      </c>
      <c r="H727">
        <v>2.3395357910331101E-2</v>
      </c>
      <c r="I727">
        <v>-0.99446658769343099</v>
      </c>
      <c r="J727">
        <v>0.31999576421218101</v>
      </c>
      <c r="K727" s="6">
        <f t="shared" si="11"/>
        <v>6.5544083791214958E-2</v>
      </c>
    </row>
    <row r="728" spans="1:11" x14ac:dyDescent="0.35">
      <c r="A728">
        <v>727</v>
      </c>
      <c r="B728">
        <v>727</v>
      </c>
      <c r="C728">
        <v>13500</v>
      </c>
      <c r="D728" t="s">
        <v>11</v>
      </c>
      <c r="E728">
        <v>366.74415507546598</v>
      </c>
      <c r="F728">
        <v>488.50461847140099</v>
      </c>
      <c r="G728">
        <v>2.0657966995735501E-2</v>
      </c>
      <c r="H728">
        <v>2.2890427833231201E-2</v>
      </c>
      <c r="I728">
        <v>0.90247186056283601</v>
      </c>
      <c r="J728">
        <v>0.366806262900709</v>
      </c>
      <c r="K728" s="6">
        <f t="shared" si="11"/>
        <v>6.4129479261163039E-2</v>
      </c>
    </row>
    <row r="729" spans="1:11" x14ac:dyDescent="0.35">
      <c r="A729">
        <v>728</v>
      </c>
      <c r="B729">
        <v>728</v>
      </c>
      <c r="C729">
        <v>14000</v>
      </c>
      <c r="D729" t="s">
        <v>11</v>
      </c>
      <c r="E729">
        <v>376.73920527901299</v>
      </c>
      <c r="F729">
        <v>524.47944622133298</v>
      </c>
      <c r="G729">
        <v>-2.8167981634467699E-2</v>
      </c>
      <c r="H729">
        <v>2.2535742941774701E-2</v>
      </c>
      <c r="I729">
        <v>-1.2499246955045999</v>
      </c>
      <c r="J729">
        <v>0.211327057222846</v>
      </c>
      <c r="K729" s="6">
        <f t="shared" si="11"/>
        <v>6.3135799389531885E-2</v>
      </c>
    </row>
    <row r="730" spans="1:11" x14ac:dyDescent="0.35">
      <c r="A730">
        <v>729</v>
      </c>
      <c r="B730">
        <v>729</v>
      </c>
      <c r="C730">
        <v>1000</v>
      </c>
      <c r="D730" t="s">
        <v>11</v>
      </c>
      <c r="E730">
        <v>373.94324853229</v>
      </c>
      <c r="F730">
        <v>478.20650095671999</v>
      </c>
      <c r="G730">
        <v>-3.3053161289661397E-2</v>
      </c>
      <c r="H730">
        <v>9.7252382423513806E-2</v>
      </c>
      <c r="I730">
        <v>-0.33986993907996799</v>
      </c>
      <c r="J730">
        <v>0.733954475632699</v>
      </c>
      <c r="K730" s="6">
        <f t="shared" si="11"/>
        <v>0.27246081581197995</v>
      </c>
    </row>
    <row r="731" spans="1:11" x14ac:dyDescent="0.35">
      <c r="A731">
        <v>730</v>
      </c>
      <c r="B731">
        <v>730</v>
      </c>
      <c r="C731">
        <v>1500</v>
      </c>
      <c r="D731" t="s">
        <v>11</v>
      </c>
      <c r="E731">
        <v>363.54533333333302</v>
      </c>
      <c r="F731">
        <v>490.78185076971698</v>
      </c>
      <c r="G731">
        <v>2.8786638511157699E-2</v>
      </c>
      <c r="H731">
        <v>7.2991372645906896E-2</v>
      </c>
      <c r="I731">
        <v>0.39438412332381201</v>
      </c>
      <c r="J731">
        <v>0.69329746367637302</v>
      </c>
      <c r="K731" s="6">
        <f t="shared" si="11"/>
        <v>0.20449153473418308</v>
      </c>
    </row>
    <row r="732" spans="1:11" x14ac:dyDescent="0.35">
      <c r="A732">
        <v>731</v>
      </c>
      <c r="B732">
        <v>731</v>
      </c>
      <c r="C732">
        <v>2000</v>
      </c>
      <c r="D732" t="s">
        <v>11</v>
      </c>
      <c r="E732">
        <v>352.84106614017799</v>
      </c>
      <c r="F732">
        <v>496.83563244163997</v>
      </c>
      <c r="G732">
        <v>0.10658206048173099</v>
      </c>
      <c r="H732">
        <v>6.1769330639460003E-2</v>
      </c>
      <c r="I732">
        <v>1.7254851133783</v>
      </c>
      <c r="J732">
        <v>8.4440084307319793E-2</v>
      </c>
      <c r="K732" s="6">
        <f t="shared" si="11"/>
        <v>0.17305203017955156</v>
      </c>
    </row>
    <row r="733" spans="1:11" x14ac:dyDescent="0.35">
      <c r="A733">
        <v>732</v>
      </c>
      <c r="B733">
        <v>732</v>
      </c>
      <c r="C733">
        <v>2500</v>
      </c>
      <c r="D733" t="s">
        <v>11</v>
      </c>
      <c r="E733">
        <v>364.07475083056499</v>
      </c>
      <c r="F733">
        <v>456.63515731174402</v>
      </c>
      <c r="G733">
        <v>3.0387472257418401E-2</v>
      </c>
      <c r="H733">
        <v>5.4901490950220802E-2</v>
      </c>
      <c r="I733">
        <v>0.55349083843589397</v>
      </c>
      <c r="J733">
        <v>0.57992735228505299</v>
      </c>
      <c r="K733" s="6">
        <f t="shared" si="11"/>
        <v>0.15381119352377437</v>
      </c>
    </row>
    <row r="734" spans="1:11" x14ac:dyDescent="0.35">
      <c r="A734">
        <v>733</v>
      </c>
      <c r="B734">
        <v>733</v>
      </c>
      <c r="C734">
        <v>3000</v>
      </c>
      <c r="D734" t="s">
        <v>11</v>
      </c>
      <c r="E734">
        <v>365.23699802501602</v>
      </c>
      <c r="F734">
        <v>515.40180334739705</v>
      </c>
      <c r="G734">
        <v>7.1033701427339101E-3</v>
      </c>
      <c r="H734">
        <v>4.9762690810432601E-2</v>
      </c>
      <c r="I734">
        <v>0.14274489636811799</v>
      </c>
      <c r="J734">
        <v>0.88649165759014703</v>
      </c>
      <c r="K734" s="6">
        <f t="shared" si="11"/>
        <v>0.13941440813414582</v>
      </c>
    </row>
    <row r="735" spans="1:11" x14ac:dyDescent="0.35">
      <c r="A735">
        <v>734</v>
      </c>
      <c r="B735">
        <v>734</v>
      </c>
      <c r="C735">
        <v>3500</v>
      </c>
      <c r="D735" t="s">
        <v>11</v>
      </c>
      <c r="E735">
        <v>386.274782608696</v>
      </c>
      <c r="F735">
        <v>515.71821934008301</v>
      </c>
      <c r="G735">
        <v>-8.3352629653551197E-2</v>
      </c>
      <c r="H735">
        <v>4.6208637600304601E-2</v>
      </c>
      <c r="I735">
        <v>-1.8038322266614899</v>
      </c>
      <c r="J735">
        <v>7.1257612131789605E-2</v>
      </c>
      <c r="K735" s="6">
        <f t="shared" si="11"/>
        <v>0.12945742597144938</v>
      </c>
    </row>
    <row r="736" spans="1:11" x14ac:dyDescent="0.35">
      <c r="A736">
        <v>735</v>
      </c>
      <c r="B736">
        <v>735</v>
      </c>
      <c r="C736">
        <v>4000</v>
      </c>
      <c r="D736" t="s">
        <v>11</v>
      </c>
      <c r="E736">
        <v>358.13096397273603</v>
      </c>
      <c r="F736">
        <v>453.67873804645802</v>
      </c>
      <c r="G736">
        <v>6.2686648888199595E-2</v>
      </c>
      <c r="H736">
        <v>4.2605281836639898E-2</v>
      </c>
      <c r="I736">
        <v>1.47133515343372</v>
      </c>
      <c r="J736">
        <v>0.14120050093818101</v>
      </c>
      <c r="K736" s="6">
        <f t="shared" si="11"/>
        <v>0.1193623185143028</v>
      </c>
    </row>
    <row r="737" spans="1:11" x14ac:dyDescent="0.35">
      <c r="A737">
        <v>736</v>
      </c>
      <c r="B737">
        <v>736</v>
      </c>
      <c r="C737">
        <v>4500</v>
      </c>
      <c r="D737" t="s">
        <v>11</v>
      </c>
      <c r="E737">
        <v>365.27350427350399</v>
      </c>
      <c r="F737">
        <v>497.63457203650898</v>
      </c>
      <c r="G737">
        <v>9.18097274833439E-3</v>
      </c>
      <c r="H737">
        <v>4.0211018256492002E-2</v>
      </c>
      <c r="I737">
        <v>0.22831982741078999</v>
      </c>
      <c r="J737">
        <v>0.81939761155830904</v>
      </c>
      <c r="K737" s="6">
        <f t="shared" si="11"/>
        <v>0.11265458558211415</v>
      </c>
    </row>
    <row r="738" spans="1:11" x14ac:dyDescent="0.35">
      <c r="A738">
        <v>737</v>
      </c>
      <c r="B738">
        <v>737</v>
      </c>
      <c r="C738">
        <v>5000</v>
      </c>
      <c r="D738" t="s">
        <v>11</v>
      </c>
      <c r="E738">
        <v>358.85795685795699</v>
      </c>
      <c r="F738">
        <v>486.300789877753</v>
      </c>
      <c r="G738">
        <v>2.46250672546908E-2</v>
      </c>
      <c r="H738">
        <v>3.7787735735964903E-2</v>
      </c>
      <c r="I738">
        <v>0.65166824037179905</v>
      </c>
      <c r="J738">
        <v>0.51461521508757901</v>
      </c>
      <c r="K738" s="6">
        <f t="shared" si="11"/>
        <v>0.10586555362184324</v>
      </c>
    </row>
    <row r="739" spans="1:11" x14ac:dyDescent="0.35">
      <c r="A739">
        <v>738</v>
      </c>
      <c r="B739">
        <v>738</v>
      </c>
      <c r="C739">
        <v>5500</v>
      </c>
      <c r="D739" t="s">
        <v>11</v>
      </c>
      <c r="E739">
        <v>362.10224800580102</v>
      </c>
      <c r="F739">
        <v>475.58176242912401</v>
      </c>
      <c r="G739">
        <v>3.2217026743440499E-2</v>
      </c>
      <c r="H739">
        <v>3.6050513557985699E-2</v>
      </c>
      <c r="I739">
        <v>0.89366346173184796</v>
      </c>
      <c r="J739">
        <v>0.37150198047434302</v>
      </c>
      <c r="K739" s="6">
        <f t="shared" si="11"/>
        <v>0.10099857802634937</v>
      </c>
    </row>
    <row r="740" spans="1:11" x14ac:dyDescent="0.35">
      <c r="A740">
        <v>739</v>
      </c>
      <c r="B740">
        <v>739</v>
      </c>
      <c r="C740">
        <v>6000</v>
      </c>
      <c r="D740" t="s">
        <v>11</v>
      </c>
      <c r="E740">
        <v>378.52873563218401</v>
      </c>
      <c r="F740">
        <v>520.90776444492701</v>
      </c>
      <c r="G740">
        <v>-3.3135461013701802E-2</v>
      </c>
      <c r="H740">
        <v>3.4743654800847797E-2</v>
      </c>
      <c r="I740">
        <v>-0.95371259021642296</v>
      </c>
      <c r="J740">
        <v>0.34022914538647903</v>
      </c>
      <c r="K740" s="6">
        <f t="shared" si="11"/>
        <v>9.7337302135233186E-2</v>
      </c>
    </row>
    <row r="741" spans="1:11" x14ac:dyDescent="0.35">
      <c r="A741">
        <v>740</v>
      </c>
      <c r="B741">
        <v>740</v>
      </c>
      <c r="C741">
        <v>6500</v>
      </c>
      <c r="D741" t="s">
        <v>11</v>
      </c>
      <c r="E741">
        <v>377.68514007308198</v>
      </c>
      <c r="F741">
        <v>500.05849990850601</v>
      </c>
      <c r="G741">
        <v>-2.54761673047042E-2</v>
      </c>
      <c r="H741">
        <v>3.3268649744089399E-2</v>
      </c>
      <c r="I741">
        <v>-0.76577100365278294</v>
      </c>
      <c r="J741">
        <v>0.44381257030263499</v>
      </c>
      <c r="K741" s="6">
        <f t="shared" si="11"/>
        <v>9.32049500932947E-2</v>
      </c>
    </row>
    <row r="742" spans="1:11" x14ac:dyDescent="0.35">
      <c r="A742">
        <v>741</v>
      </c>
      <c r="B742">
        <v>741</v>
      </c>
      <c r="C742">
        <v>7000</v>
      </c>
      <c r="D742" t="s">
        <v>11</v>
      </c>
      <c r="E742">
        <v>374.93475136533499</v>
      </c>
      <c r="F742">
        <v>493.24047681309401</v>
      </c>
      <c r="G742">
        <v>-1.7915343655938099E-2</v>
      </c>
      <c r="H742">
        <v>3.1870394160219397E-2</v>
      </c>
      <c r="I742">
        <v>-0.562131223287475</v>
      </c>
      <c r="J742">
        <v>0.574026616477194</v>
      </c>
      <c r="K742" s="6">
        <f t="shared" si="11"/>
        <v>8.9287618223358262E-2</v>
      </c>
    </row>
    <row r="743" spans="1:11" x14ac:dyDescent="0.35">
      <c r="A743">
        <v>742</v>
      </c>
      <c r="B743">
        <v>742</v>
      </c>
      <c r="C743">
        <v>7500</v>
      </c>
      <c r="D743" t="s">
        <v>11</v>
      </c>
      <c r="E743">
        <v>379.21657400052999</v>
      </c>
      <c r="F743">
        <v>514.27447630772599</v>
      </c>
      <c r="G743">
        <v>-5.13284418446813E-2</v>
      </c>
      <c r="H743">
        <v>3.0697552929416401E-2</v>
      </c>
      <c r="I743">
        <v>-1.6720694956598601</v>
      </c>
      <c r="J743">
        <v>9.4510618962626997E-2</v>
      </c>
      <c r="K743" s="6">
        <f t="shared" si="11"/>
        <v>8.6001803823759049E-2</v>
      </c>
    </row>
    <row r="744" spans="1:11" x14ac:dyDescent="0.35">
      <c r="A744">
        <v>743</v>
      </c>
      <c r="B744">
        <v>743</v>
      </c>
      <c r="C744">
        <v>8000</v>
      </c>
      <c r="D744" t="s">
        <v>11</v>
      </c>
      <c r="E744">
        <v>359.31615807903898</v>
      </c>
      <c r="F744">
        <v>456.22381976869701</v>
      </c>
      <c r="G744">
        <v>6.2527296486763195E-2</v>
      </c>
      <c r="H744">
        <v>2.9792902777828E-2</v>
      </c>
      <c r="I744">
        <v>2.0987312633831801</v>
      </c>
      <c r="J744">
        <v>3.5840597105428897E-2</v>
      </c>
      <c r="K744" s="6">
        <f t="shared" si="11"/>
        <v>8.3467349528821261E-2</v>
      </c>
    </row>
    <row r="745" spans="1:11" x14ac:dyDescent="0.35">
      <c r="A745">
        <v>744</v>
      </c>
      <c r="B745">
        <v>744</v>
      </c>
      <c r="C745">
        <v>8500</v>
      </c>
      <c r="D745" t="s">
        <v>11</v>
      </c>
      <c r="E745">
        <v>367.95636025998101</v>
      </c>
      <c r="F745">
        <v>497.19474624576202</v>
      </c>
      <c r="G745">
        <v>1.8828084420857798E-2</v>
      </c>
      <c r="H745">
        <v>2.90454683967281E-2</v>
      </c>
      <c r="I745">
        <v>0.64822794949241702</v>
      </c>
      <c r="J745">
        <v>0.51683752715390097</v>
      </c>
      <c r="K745" s="6">
        <f t="shared" si="11"/>
        <v>8.1373348578247504E-2</v>
      </c>
    </row>
    <row r="746" spans="1:11" x14ac:dyDescent="0.35">
      <c r="A746">
        <v>745</v>
      </c>
      <c r="B746">
        <v>745</v>
      </c>
      <c r="C746">
        <v>9000</v>
      </c>
      <c r="D746" t="s">
        <v>11</v>
      </c>
      <c r="E746">
        <v>368.58363228699602</v>
      </c>
      <c r="F746">
        <v>507.87680806010297</v>
      </c>
      <c r="G746">
        <v>3.87882261379403E-3</v>
      </c>
      <c r="H746">
        <v>2.81865140607933E-2</v>
      </c>
      <c r="I746">
        <v>0.137612711008821</v>
      </c>
      <c r="J746">
        <v>0.89054650917912004</v>
      </c>
      <c r="K746" s="6">
        <f t="shared" si="11"/>
        <v>7.8966914995007603E-2</v>
      </c>
    </row>
    <row r="747" spans="1:11" x14ac:dyDescent="0.35">
      <c r="A747">
        <v>746</v>
      </c>
      <c r="B747">
        <v>746</v>
      </c>
      <c r="C747">
        <v>9500</v>
      </c>
      <c r="D747" t="s">
        <v>11</v>
      </c>
      <c r="E747">
        <v>357.940025252525</v>
      </c>
      <c r="F747">
        <v>455.77909315009703</v>
      </c>
      <c r="G747">
        <v>4.2890276521657E-2</v>
      </c>
      <c r="H747">
        <v>2.7315285283933E-2</v>
      </c>
      <c r="I747">
        <v>1.57019324805973</v>
      </c>
      <c r="J747">
        <v>0.116370159891207</v>
      </c>
      <c r="K747" s="6">
        <f t="shared" si="11"/>
        <v>7.6526093522187436E-2</v>
      </c>
    </row>
    <row r="748" spans="1:11" x14ac:dyDescent="0.35">
      <c r="A748">
        <v>747</v>
      </c>
      <c r="B748">
        <v>747</v>
      </c>
      <c r="C748">
        <v>10000</v>
      </c>
      <c r="D748" t="s">
        <v>11</v>
      </c>
      <c r="E748">
        <v>366.054777845405</v>
      </c>
      <c r="F748">
        <v>487.008794573861</v>
      </c>
      <c r="G748">
        <v>-6.7002068528668E-3</v>
      </c>
      <c r="H748">
        <v>2.67757590262372E-2</v>
      </c>
      <c r="I748">
        <v>-0.25023405858640102</v>
      </c>
      <c r="J748">
        <v>0.80240634794580201</v>
      </c>
      <c r="K748" s="6">
        <f t="shared" si="11"/>
        <v>7.5014564851520749E-2</v>
      </c>
    </row>
    <row r="749" spans="1:11" x14ac:dyDescent="0.35">
      <c r="A749">
        <v>748</v>
      </c>
      <c r="B749">
        <v>748</v>
      </c>
      <c r="C749">
        <v>10500</v>
      </c>
      <c r="D749" t="s">
        <v>11</v>
      </c>
      <c r="E749">
        <v>364.44336384439401</v>
      </c>
      <c r="F749">
        <v>480.32299081577401</v>
      </c>
      <c r="G749">
        <v>2.6264835601201501E-3</v>
      </c>
      <c r="H749">
        <v>2.6008569389772099E-2</v>
      </c>
      <c r="I749">
        <v>0.100985314523029</v>
      </c>
      <c r="J749">
        <v>0.91956211788920394</v>
      </c>
      <c r="K749" s="6">
        <f t="shared" si="11"/>
        <v>7.2865217873844673E-2</v>
      </c>
    </row>
    <row r="750" spans="1:11" x14ac:dyDescent="0.35">
      <c r="A750">
        <v>749</v>
      </c>
      <c r="B750">
        <v>749</v>
      </c>
      <c r="C750">
        <v>11000</v>
      </c>
      <c r="D750" t="s">
        <v>11</v>
      </c>
      <c r="E750">
        <v>371.803673094582</v>
      </c>
      <c r="F750">
        <v>502.20143237414601</v>
      </c>
      <c r="G750">
        <v>-3.2661542919099701E-2</v>
      </c>
      <c r="H750">
        <v>2.52774339282371E-2</v>
      </c>
      <c r="I750">
        <v>-1.2921225711370099</v>
      </c>
      <c r="J750">
        <v>0.19631470044363</v>
      </c>
      <c r="K750" s="6">
        <f t="shared" si="11"/>
        <v>7.0816879731840143E-2</v>
      </c>
    </row>
    <row r="751" spans="1:11" x14ac:dyDescent="0.35">
      <c r="A751">
        <v>750</v>
      </c>
      <c r="B751">
        <v>750</v>
      </c>
      <c r="C751">
        <v>11500</v>
      </c>
      <c r="D751" t="s">
        <v>11</v>
      </c>
      <c r="E751">
        <v>370.18595692523201</v>
      </c>
      <c r="F751">
        <v>496.89305345298698</v>
      </c>
      <c r="G751">
        <v>-1.7001097056048801E-2</v>
      </c>
      <c r="H751">
        <v>2.4626018723281701E-2</v>
      </c>
      <c r="I751">
        <v>-0.69037132015073599</v>
      </c>
      <c r="J751">
        <v>0.489960707644717</v>
      </c>
      <c r="K751" s="6">
        <f t="shared" si="11"/>
        <v>6.8991884664865166E-2</v>
      </c>
    </row>
    <row r="752" spans="1:11" x14ac:dyDescent="0.35">
      <c r="A752">
        <v>751</v>
      </c>
      <c r="B752">
        <v>751</v>
      </c>
      <c r="C752">
        <v>12000</v>
      </c>
      <c r="D752" t="s">
        <v>11</v>
      </c>
      <c r="E752">
        <v>365.09975227085101</v>
      </c>
      <c r="F752">
        <v>485.35399737377702</v>
      </c>
      <c r="G752">
        <v>1.85681364872015E-2</v>
      </c>
      <c r="H752">
        <v>2.4184300690509902E-2</v>
      </c>
      <c r="I752">
        <v>0.76777644823477498</v>
      </c>
      <c r="J752">
        <v>0.44262000896606302</v>
      </c>
      <c r="K752" s="6">
        <f t="shared" si="11"/>
        <v>6.7754374050022187E-2</v>
      </c>
    </row>
    <row r="753" spans="1:11" x14ac:dyDescent="0.35">
      <c r="A753">
        <v>752</v>
      </c>
      <c r="B753">
        <v>752</v>
      </c>
      <c r="C753">
        <v>12500</v>
      </c>
      <c r="D753" t="s">
        <v>11</v>
      </c>
      <c r="E753">
        <v>364.65512242267999</v>
      </c>
      <c r="F753">
        <v>485.07293272161002</v>
      </c>
      <c r="G753">
        <v>2.5407443564300799E-2</v>
      </c>
      <c r="H753">
        <v>2.3920232211700199E-2</v>
      </c>
      <c r="I753">
        <v>1.0621737840769401</v>
      </c>
      <c r="J753">
        <v>0.28815679886362799</v>
      </c>
      <c r="K753" s="6">
        <f t="shared" si="11"/>
        <v>6.7014563760816104E-2</v>
      </c>
    </row>
    <row r="754" spans="1:11" x14ac:dyDescent="0.35">
      <c r="A754">
        <v>753</v>
      </c>
      <c r="B754">
        <v>753</v>
      </c>
      <c r="C754">
        <v>13000</v>
      </c>
      <c r="D754" t="s">
        <v>11</v>
      </c>
      <c r="E754">
        <v>364.92730632989401</v>
      </c>
      <c r="F754">
        <v>505.80837548046799</v>
      </c>
      <c r="G754">
        <v>3.0128819775092401E-2</v>
      </c>
      <c r="H754">
        <v>2.3435955181657999E-2</v>
      </c>
      <c r="I754">
        <v>1.2855810459422801</v>
      </c>
      <c r="J754">
        <v>0.19858931515960199</v>
      </c>
      <c r="K754" s="6">
        <f t="shared" si="11"/>
        <v>6.5657820497605324E-2</v>
      </c>
    </row>
    <row r="755" spans="1:11" x14ac:dyDescent="0.35">
      <c r="A755">
        <v>754</v>
      </c>
      <c r="B755">
        <v>754</v>
      </c>
      <c r="C755">
        <v>13500</v>
      </c>
      <c r="D755" t="s">
        <v>11</v>
      </c>
      <c r="E755">
        <v>370.14024032825301</v>
      </c>
      <c r="F755">
        <v>499.74718345152002</v>
      </c>
      <c r="G755">
        <v>2.3293868089746201E-3</v>
      </c>
      <c r="H755">
        <v>2.2885965846837001E-2</v>
      </c>
      <c r="I755">
        <v>0.10178232479083101</v>
      </c>
      <c r="J755">
        <v>0.91892945555439998</v>
      </c>
      <c r="K755" s="6">
        <f t="shared" si="11"/>
        <v>6.4116978627010851E-2</v>
      </c>
    </row>
    <row r="756" spans="1:11" x14ac:dyDescent="0.35">
      <c r="A756">
        <v>755</v>
      </c>
      <c r="B756">
        <v>755</v>
      </c>
      <c r="C756">
        <v>14000</v>
      </c>
      <c r="D756" t="s">
        <v>11</v>
      </c>
      <c r="E756">
        <v>366.94772922022298</v>
      </c>
      <c r="F756">
        <v>476.141252207614</v>
      </c>
      <c r="G756">
        <v>2.4438899451408001E-2</v>
      </c>
      <c r="H756">
        <v>2.2542459741205001E-2</v>
      </c>
      <c r="I756">
        <v>1.0841274524597</v>
      </c>
      <c r="J756">
        <v>0.278308292378597</v>
      </c>
      <c r="K756" s="6">
        <f t="shared" si="11"/>
        <v>6.3154617074063821E-2</v>
      </c>
    </row>
    <row r="757" spans="1:11" x14ac:dyDescent="0.35">
      <c r="A757">
        <v>756</v>
      </c>
      <c r="B757">
        <v>756</v>
      </c>
      <c r="C757">
        <v>1000</v>
      </c>
      <c r="D757" t="s">
        <v>11</v>
      </c>
      <c r="E757">
        <v>374.17590822179699</v>
      </c>
      <c r="F757">
        <v>562.80917568100699</v>
      </c>
      <c r="G757">
        <v>-3.5226888220136199E-2</v>
      </c>
      <c r="H757">
        <v>9.6317504370215801E-2</v>
      </c>
      <c r="I757">
        <v>-0.36573713626065901</v>
      </c>
      <c r="J757">
        <v>0.71456123241040703</v>
      </c>
      <c r="K757" s="6">
        <f t="shared" si="11"/>
        <v>0.26984167548103105</v>
      </c>
    </row>
    <row r="758" spans="1:11" x14ac:dyDescent="0.35">
      <c r="A758">
        <v>757</v>
      </c>
      <c r="B758">
        <v>757</v>
      </c>
      <c r="C758">
        <v>1500</v>
      </c>
      <c r="D758" t="s">
        <v>11</v>
      </c>
      <c r="E758">
        <v>378.96978021977998</v>
      </c>
      <c r="F758">
        <v>590.90271245924998</v>
      </c>
      <c r="G758">
        <v>-5.32576759747223E-2</v>
      </c>
      <c r="H758">
        <v>7.31308990767634E-2</v>
      </c>
      <c r="I758">
        <v>-0.72825134993649199</v>
      </c>
      <c r="J758">
        <v>0.46645973734139101</v>
      </c>
      <c r="K758" s="6">
        <f t="shared" si="11"/>
        <v>0.20488242988997421</v>
      </c>
    </row>
    <row r="759" spans="1:11" x14ac:dyDescent="0.35">
      <c r="A759">
        <v>758</v>
      </c>
      <c r="B759">
        <v>758</v>
      </c>
      <c r="C759">
        <v>2000</v>
      </c>
      <c r="D759" t="s">
        <v>11</v>
      </c>
      <c r="E759">
        <v>387.15825242718398</v>
      </c>
      <c r="F759">
        <v>568.62936087869105</v>
      </c>
      <c r="G759">
        <v>-8.1713030238396406E-2</v>
      </c>
      <c r="H759">
        <v>6.1087908241647802E-2</v>
      </c>
      <c r="I759">
        <v>-1.3376301888609601</v>
      </c>
      <c r="J759">
        <v>0.18101701836248299</v>
      </c>
      <c r="K759" s="6">
        <f t="shared" si="11"/>
        <v>0.17114296741117688</v>
      </c>
    </row>
    <row r="760" spans="1:11" x14ac:dyDescent="0.35">
      <c r="A760">
        <v>759</v>
      </c>
      <c r="B760">
        <v>759</v>
      </c>
      <c r="C760">
        <v>2500</v>
      </c>
      <c r="D760" t="s">
        <v>11</v>
      </c>
      <c r="E760">
        <v>373.103582554517</v>
      </c>
      <c r="F760">
        <v>557.90795427482306</v>
      </c>
      <c r="G760">
        <v>-1.7821662027223899E-2</v>
      </c>
      <c r="H760">
        <v>5.5017829460020401E-2</v>
      </c>
      <c r="I760">
        <v>-0.32392521119311402</v>
      </c>
      <c r="J760">
        <v>0.74599465642302798</v>
      </c>
      <c r="K760" s="6">
        <f t="shared" si="11"/>
        <v>0.15413712574775126</v>
      </c>
    </row>
    <row r="761" spans="1:11" x14ac:dyDescent="0.35">
      <c r="A761">
        <v>760</v>
      </c>
      <c r="B761">
        <v>760</v>
      </c>
      <c r="C761">
        <v>3000</v>
      </c>
      <c r="D761" t="s">
        <v>11</v>
      </c>
      <c r="E761">
        <v>355.37353549276401</v>
      </c>
      <c r="F761">
        <v>447.65398548414203</v>
      </c>
      <c r="G761">
        <v>5.8984977968335003E-2</v>
      </c>
      <c r="H761">
        <v>4.93733666361875E-2</v>
      </c>
      <c r="I761">
        <v>1.19467198586986</v>
      </c>
      <c r="J761">
        <v>0.23221521181893101</v>
      </c>
      <c r="K761" s="6">
        <f t="shared" si="11"/>
        <v>0.13832368336744336</v>
      </c>
    </row>
    <row r="762" spans="1:11" x14ac:dyDescent="0.35">
      <c r="A762">
        <v>761</v>
      </c>
      <c r="B762">
        <v>761</v>
      </c>
      <c r="C762">
        <v>3500</v>
      </c>
      <c r="D762" t="s">
        <v>11</v>
      </c>
      <c r="E762">
        <v>378.48432250839898</v>
      </c>
      <c r="F762">
        <v>501.84026499953802</v>
      </c>
      <c r="G762">
        <v>-4.3422213950865297E-2</v>
      </c>
      <c r="H762">
        <v>4.6320896017587203E-2</v>
      </c>
      <c r="I762">
        <v>-0.93742171857769496</v>
      </c>
      <c r="J762">
        <v>0.34854167346017401</v>
      </c>
      <c r="K762" s="6">
        <f t="shared" si="11"/>
        <v>0.12977192746943206</v>
      </c>
    </row>
    <row r="763" spans="1:11" x14ac:dyDescent="0.35">
      <c r="A763">
        <v>762</v>
      </c>
      <c r="B763">
        <v>762</v>
      </c>
      <c r="C763">
        <v>4000</v>
      </c>
      <c r="D763" t="s">
        <v>11</v>
      </c>
      <c r="E763">
        <v>364.77274963108698</v>
      </c>
      <c r="F763">
        <v>491.00244409117602</v>
      </c>
      <c r="G763">
        <v>2.5482707478392E-2</v>
      </c>
      <c r="H763">
        <v>4.2643650587371199E-2</v>
      </c>
      <c r="I763">
        <v>0.59757331108839495</v>
      </c>
      <c r="J763">
        <v>0.55012467676021404</v>
      </c>
      <c r="K763" s="6">
        <f t="shared" si="11"/>
        <v>0.11946981183082035</v>
      </c>
    </row>
    <row r="764" spans="1:11" x14ac:dyDescent="0.35">
      <c r="A764">
        <v>763</v>
      </c>
      <c r="B764">
        <v>763</v>
      </c>
      <c r="C764">
        <v>4500</v>
      </c>
      <c r="D764" t="s">
        <v>11</v>
      </c>
      <c r="E764">
        <v>368.93861209964399</v>
      </c>
      <c r="F764">
        <v>488.17412442499301</v>
      </c>
      <c r="G764">
        <v>-1.0674519727693701E-2</v>
      </c>
      <c r="H764">
        <v>4.0200309845321698E-2</v>
      </c>
      <c r="I764">
        <v>-0.265533269986375</v>
      </c>
      <c r="J764">
        <v>0.79059868366828601</v>
      </c>
      <c r="K764" s="6">
        <f t="shared" si="11"/>
        <v>0.1126245850580056</v>
      </c>
    </row>
    <row r="765" spans="1:11" x14ac:dyDescent="0.35">
      <c r="A765">
        <v>764</v>
      </c>
      <c r="B765">
        <v>764</v>
      </c>
      <c r="C765">
        <v>5000</v>
      </c>
      <c r="D765" t="s">
        <v>11</v>
      </c>
      <c r="E765">
        <v>376.84854604200302</v>
      </c>
      <c r="F765">
        <v>529.57754850514004</v>
      </c>
      <c r="G765">
        <v>-7.3271979737335902E-2</v>
      </c>
      <c r="H765">
        <v>3.7594194510425803E-2</v>
      </c>
      <c r="I765">
        <v>-1.9490237971986799</v>
      </c>
      <c r="J765">
        <v>5.1292582877648998E-2</v>
      </c>
      <c r="K765" s="6">
        <f t="shared" si="11"/>
        <v>0.10532333142749128</v>
      </c>
    </row>
    <row r="766" spans="1:11" x14ac:dyDescent="0.35">
      <c r="A766">
        <v>765</v>
      </c>
      <c r="B766">
        <v>765</v>
      </c>
      <c r="C766">
        <v>5500</v>
      </c>
      <c r="D766" t="s">
        <v>11</v>
      </c>
      <c r="E766">
        <v>365.17868912486301</v>
      </c>
      <c r="F766">
        <v>473.96394385348901</v>
      </c>
      <c r="G766">
        <v>1.5298246941568699E-2</v>
      </c>
      <c r="H766">
        <v>3.6043273158486801E-2</v>
      </c>
      <c r="I766">
        <v>0.424441112057175</v>
      </c>
      <c r="J766">
        <v>0.67124414333212101</v>
      </c>
      <c r="K766" s="6">
        <f t="shared" si="11"/>
        <v>0.10097829343171925</v>
      </c>
    </row>
    <row r="767" spans="1:11" x14ac:dyDescent="0.35">
      <c r="A767">
        <v>766</v>
      </c>
      <c r="B767">
        <v>766</v>
      </c>
      <c r="C767">
        <v>6000</v>
      </c>
      <c r="D767" t="s">
        <v>11</v>
      </c>
      <c r="E767">
        <v>364.296829029094</v>
      </c>
      <c r="F767">
        <v>472.50307561753698</v>
      </c>
      <c r="G767">
        <v>4.46616900801627E-2</v>
      </c>
      <c r="H767">
        <v>3.4784020473601303E-2</v>
      </c>
      <c r="I767">
        <v>1.28397147517947</v>
      </c>
      <c r="J767">
        <v>0.19915193632341999</v>
      </c>
      <c r="K767" s="6">
        <f t="shared" si="11"/>
        <v>9.7450389998534309E-2</v>
      </c>
    </row>
    <row r="768" spans="1:11" x14ac:dyDescent="0.35">
      <c r="A768">
        <v>767</v>
      </c>
      <c r="B768">
        <v>767</v>
      </c>
      <c r="C768">
        <v>6500</v>
      </c>
      <c r="D768" t="s">
        <v>11</v>
      </c>
      <c r="E768">
        <v>381.58244111349001</v>
      </c>
      <c r="F768">
        <v>515.20278744250902</v>
      </c>
      <c r="G768">
        <v>-4.6388557214278203E-2</v>
      </c>
      <c r="H768">
        <v>3.3222610386104197E-2</v>
      </c>
      <c r="I768">
        <v>-1.39629477260104</v>
      </c>
      <c r="J768">
        <v>0.16262574730839099</v>
      </c>
      <c r="K768" s="6">
        <f t="shared" si="11"/>
        <v>9.3075966918553729E-2</v>
      </c>
    </row>
    <row r="769" spans="1:11" x14ac:dyDescent="0.35">
      <c r="A769">
        <v>768</v>
      </c>
      <c r="B769">
        <v>768</v>
      </c>
      <c r="C769">
        <v>7000</v>
      </c>
      <c r="D769" t="s">
        <v>11</v>
      </c>
      <c r="E769">
        <v>363.88614855176399</v>
      </c>
      <c r="F769">
        <v>495.23617394785498</v>
      </c>
      <c r="G769">
        <v>4.12995965606959E-2</v>
      </c>
      <c r="H769">
        <v>3.1890929571188401E-2</v>
      </c>
      <c r="I769">
        <v>1.2950264265111799</v>
      </c>
      <c r="J769">
        <v>0.19531111333995199</v>
      </c>
      <c r="K769" s="6">
        <f t="shared" si="11"/>
        <v>8.9345149922697861E-2</v>
      </c>
    </row>
    <row r="770" spans="1:11" x14ac:dyDescent="0.35">
      <c r="A770">
        <v>769</v>
      </c>
      <c r="B770">
        <v>769</v>
      </c>
      <c r="C770">
        <v>7500</v>
      </c>
      <c r="D770" t="s">
        <v>11</v>
      </c>
      <c r="E770">
        <v>368.80779427359499</v>
      </c>
      <c r="F770">
        <v>496.05636277471899</v>
      </c>
      <c r="G770">
        <v>5.3876419594566204E-3</v>
      </c>
      <c r="H770">
        <v>3.07521651372266E-2</v>
      </c>
      <c r="I770">
        <v>0.175195532913378</v>
      </c>
      <c r="J770">
        <v>0.86092599426857097</v>
      </c>
      <c r="K770" s="6">
        <f t="shared" si="11"/>
        <v>8.6154804565976989E-2</v>
      </c>
    </row>
    <row r="771" spans="1:11" x14ac:dyDescent="0.35">
      <c r="A771">
        <v>770</v>
      </c>
      <c r="B771">
        <v>770</v>
      </c>
      <c r="C771">
        <v>8000</v>
      </c>
      <c r="D771" t="s">
        <v>11</v>
      </c>
      <c r="E771">
        <v>370.86418816388499</v>
      </c>
      <c r="F771">
        <v>491.88722771951097</v>
      </c>
      <c r="G771">
        <v>2.6620274441000098E-4</v>
      </c>
      <c r="H771">
        <v>2.9898648746170702E-2</v>
      </c>
      <c r="I771">
        <v>8.9035041907736499E-3</v>
      </c>
      <c r="J771">
        <v>0.99289612532611204</v>
      </c>
      <c r="K771" s="6">
        <f t="shared" ref="K771:K811" si="12">H771*2.801585</f>
        <v>8.3763605847540654E-2</v>
      </c>
    </row>
    <row r="772" spans="1:11" x14ac:dyDescent="0.35">
      <c r="A772">
        <v>771</v>
      </c>
      <c r="B772">
        <v>771</v>
      </c>
      <c r="C772">
        <v>8500</v>
      </c>
      <c r="D772" t="s">
        <v>11</v>
      </c>
      <c r="E772">
        <v>378.43902439024401</v>
      </c>
      <c r="F772">
        <v>519.656390875846</v>
      </c>
      <c r="G772">
        <v>-3.7636501102691199E-2</v>
      </c>
      <c r="H772">
        <v>2.90200243940037E-2</v>
      </c>
      <c r="I772">
        <v>-1.2969148678754301</v>
      </c>
      <c r="J772">
        <v>0.19466048024443999</v>
      </c>
      <c r="K772" s="6">
        <f t="shared" si="12"/>
        <v>8.1302065041874857E-2</v>
      </c>
    </row>
    <row r="773" spans="1:11" x14ac:dyDescent="0.35">
      <c r="A773">
        <v>772</v>
      </c>
      <c r="B773">
        <v>772</v>
      </c>
      <c r="C773">
        <v>9000</v>
      </c>
      <c r="D773" t="s">
        <v>11</v>
      </c>
      <c r="E773">
        <v>364.73587854431798</v>
      </c>
      <c r="F773">
        <v>494.14947039768202</v>
      </c>
      <c r="G773">
        <v>2.4638664475069499E-2</v>
      </c>
      <c r="H773">
        <v>2.8176579449552801E-2</v>
      </c>
      <c r="I773">
        <v>0.87443774071946601</v>
      </c>
      <c r="J773">
        <v>0.38187991185200898</v>
      </c>
      <c r="K773" s="6">
        <f t="shared" si="12"/>
        <v>7.8939082337175392E-2</v>
      </c>
    </row>
    <row r="774" spans="1:11" x14ac:dyDescent="0.35">
      <c r="A774">
        <v>773</v>
      </c>
      <c r="B774">
        <v>773</v>
      </c>
      <c r="C774">
        <v>9500</v>
      </c>
      <c r="D774" t="s">
        <v>11</v>
      </c>
      <c r="E774">
        <v>365.82152733460998</v>
      </c>
      <c r="F774">
        <v>491.60959672034397</v>
      </c>
      <c r="G774">
        <v>-2.2588287296064101E-4</v>
      </c>
      <c r="H774">
        <v>2.7379331883386999E-2</v>
      </c>
      <c r="I774">
        <v>-8.2501236305806205E-3</v>
      </c>
      <c r="J774">
        <v>0.99341742840381397</v>
      </c>
      <c r="K774" s="6">
        <f t="shared" si="12"/>
        <v>7.6705525514518771E-2</v>
      </c>
    </row>
    <row r="775" spans="1:11" x14ac:dyDescent="0.35">
      <c r="A775">
        <v>774</v>
      </c>
      <c r="B775">
        <v>774</v>
      </c>
      <c r="C775">
        <v>10000</v>
      </c>
      <c r="D775" t="s">
        <v>11</v>
      </c>
      <c r="E775">
        <v>358.224832214765</v>
      </c>
      <c r="F775">
        <v>476.96526658795</v>
      </c>
      <c r="G775">
        <v>3.6608433811187301E-2</v>
      </c>
      <c r="H775">
        <v>2.6770821889919499E-2</v>
      </c>
      <c r="I775">
        <v>1.3674751549175299</v>
      </c>
      <c r="J775">
        <v>0.171476419608451</v>
      </c>
      <c r="K775" s="6">
        <f t="shared" si="12"/>
        <v>7.5000733044470122E-2</v>
      </c>
    </row>
    <row r="776" spans="1:11" x14ac:dyDescent="0.35">
      <c r="A776">
        <v>775</v>
      </c>
      <c r="B776">
        <v>775</v>
      </c>
      <c r="C776">
        <v>10500</v>
      </c>
      <c r="D776" t="s">
        <v>11</v>
      </c>
      <c r="E776">
        <v>360.69929937511802</v>
      </c>
      <c r="F776">
        <v>481.18334691662801</v>
      </c>
      <c r="G776">
        <v>2.3286176437337502E-2</v>
      </c>
      <c r="H776">
        <v>2.6008035979278699E-2</v>
      </c>
      <c r="I776">
        <v>0.89534544076647204</v>
      </c>
      <c r="J776">
        <v>0.37060245633174799</v>
      </c>
      <c r="K776" s="6">
        <f t="shared" si="12"/>
        <v>7.2863723479007519E-2</v>
      </c>
    </row>
    <row r="777" spans="1:11" x14ac:dyDescent="0.35">
      <c r="A777">
        <v>776</v>
      </c>
      <c r="B777">
        <v>776</v>
      </c>
      <c r="C777">
        <v>11000</v>
      </c>
      <c r="D777" t="s">
        <v>11</v>
      </c>
      <c r="E777">
        <v>372.55791399817002</v>
      </c>
      <c r="F777">
        <v>511.09335116179801</v>
      </c>
      <c r="G777">
        <v>-3.6879899666468E-2</v>
      </c>
      <c r="H777">
        <v>2.5259119248432001E-2</v>
      </c>
      <c r="I777">
        <v>-1.4600627719336401</v>
      </c>
      <c r="J777">
        <v>0.14427282291854299</v>
      </c>
      <c r="K777" s="6">
        <f t="shared" si="12"/>
        <v>7.0765569599618369E-2</v>
      </c>
    </row>
    <row r="778" spans="1:11" x14ac:dyDescent="0.35">
      <c r="A778">
        <v>777</v>
      </c>
      <c r="B778">
        <v>777</v>
      </c>
      <c r="C778">
        <v>11500</v>
      </c>
      <c r="D778" t="s">
        <v>11</v>
      </c>
      <c r="E778">
        <v>369.14614295824498</v>
      </c>
      <c r="F778">
        <v>482.88524940440902</v>
      </c>
      <c r="G778">
        <v>-1.12582534179154E-2</v>
      </c>
      <c r="H778">
        <v>2.4626069033399998E-2</v>
      </c>
      <c r="I778">
        <v>-0.45716810923603002</v>
      </c>
      <c r="J778">
        <v>0.64755021851005801</v>
      </c>
      <c r="K778" s="6">
        <f t="shared" si="12"/>
        <v>6.8992025612937935E-2</v>
      </c>
    </row>
    <row r="779" spans="1:11" x14ac:dyDescent="0.35">
      <c r="A779">
        <v>778</v>
      </c>
      <c r="B779">
        <v>778</v>
      </c>
      <c r="C779">
        <v>12000</v>
      </c>
      <c r="D779" t="s">
        <v>11</v>
      </c>
      <c r="E779">
        <v>368.633444259567</v>
      </c>
      <c r="F779">
        <v>499.378897219804</v>
      </c>
      <c r="G779">
        <v>-7.8166524452818803E-4</v>
      </c>
      <c r="H779">
        <v>2.41826352315841E-2</v>
      </c>
      <c r="I779">
        <v>-3.2323410457239299E-2</v>
      </c>
      <c r="J779">
        <v>0.97421414011188501</v>
      </c>
      <c r="K779" s="6">
        <f t="shared" si="12"/>
        <v>6.7749708125277544E-2</v>
      </c>
    </row>
    <row r="780" spans="1:11" x14ac:dyDescent="0.35">
      <c r="A780">
        <v>779</v>
      </c>
      <c r="B780">
        <v>779</v>
      </c>
      <c r="C780">
        <v>12500</v>
      </c>
      <c r="D780" t="s">
        <v>11</v>
      </c>
      <c r="E780">
        <v>361.94790996784599</v>
      </c>
      <c r="F780">
        <v>471.31103683568699</v>
      </c>
      <c r="G780">
        <v>4.0049831804564701E-2</v>
      </c>
      <c r="H780">
        <v>2.3890969315160101E-2</v>
      </c>
      <c r="I780">
        <v>1.67635859710183</v>
      </c>
      <c r="J780">
        <v>9.3667973562807594E-2</v>
      </c>
      <c r="K780" s="6">
        <f t="shared" si="12"/>
        <v>6.693258126881281E-2</v>
      </c>
    </row>
    <row r="781" spans="1:11" x14ac:dyDescent="0.35">
      <c r="A781">
        <v>780</v>
      </c>
      <c r="B781">
        <v>780</v>
      </c>
      <c r="C781">
        <v>13000</v>
      </c>
      <c r="D781" t="s">
        <v>11</v>
      </c>
      <c r="E781">
        <v>367.760183767228</v>
      </c>
      <c r="F781">
        <v>484.53145697619698</v>
      </c>
      <c r="G781">
        <v>1.4935601343874101E-2</v>
      </c>
      <c r="H781">
        <v>2.3408704461781601E-2</v>
      </c>
      <c r="I781">
        <v>0.63803622145167305</v>
      </c>
      <c r="J781">
        <v>0.52345010179306195</v>
      </c>
      <c r="K781" s="6">
        <f t="shared" si="12"/>
        <v>6.5581475289560417E-2</v>
      </c>
    </row>
    <row r="782" spans="1:11" x14ac:dyDescent="0.35">
      <c r="A782">
        <v>781</v>
      </c>
      <c r="B782">
        <v>781</v>
      </c>
      <c r="C782">
        <v>13500</v>
      </c>
      <c r="D782" t="s">
        <v>11</v>
      </c>
      <c r="E782">
        <v>368.43351142772298</v>
      </c>
      <c r="F782">
        <v>489.46419538321402</v>
      </c>
      <c r="G782">
        <v>1.14951301130321E-2</v>
      </c>
      <c r="H782">
        <v>2.2890728020442199E-2</v>
      </c>
      <c r="I782">
        <v>0.50217407252257495</v>
      </c>
      <c r="J782">
        <v>0.61554507928384605</v>
      </c>
      <c r="K782" s="6">
        <f t="shared" si="12"/>
        <v>6.4130320261150564E-2</v>
      </c>
    </row>
    <row r="783" spans="1:11" x14ac:dyDescent="0.35">
      <c r="A783">
        <v>782</v>
      </c>
      <c r="B783">
        <v>782</v>
      </c>
      <c r="C783">
        <v>14000</v>
      </c>
      <c r="D783" t="s">
        <v>11</v>
      </c>
      <c r="E783">
        <v>379.96096654275101</v>
      </c>
      <c r="F783">
        <v>519.74696820672602</v>
      </c>
      <c r="G783">
        <v>-4.5597671073000098E-2</v>
      </c>
      <c r="H783">
        <v>2.25235919893437E-2</v>
      </c>
      <c r="I783">
        <v>-2.0244404664483802</v>
      </c>
      <c r="J783">
        <v>4.2924851649927903E-2</v>
      </c>
      <c r="K783" s="6">
        <f t="shared" si="12"/>
        <v>6.3101757463465469E-2</v>
      </c>
    </row>
    <row r="784" spans="1:11" x14ac:dyDescent="0.35">
      <c r="A784">
        <v>783</v>
      </c>
      <c r="B784">
        <v>783</v>
      </c>
      <c r="C784">
        <v>1000</v>
      </c>
      <c r="D784" t="s">
        <v>11</v>
      </c>
      <c r="E784">
        <v>345.217636022514</v>
      </c>
      <c r="F784">
        <v>436.92478567254898</v>
      </c>
      <c r="G784">
        <v>0.13217043506676299</v>
      </c>
      <c r="H784">
        <v>9.6030872819671306E-2</v>
      </c>
      <c r="I784">
        <v>1.37633274785449</v>
      </c>
      <c r="J784">
        <v>0.168718638651422</v>
      </c>
      <c r="K784" s="6">
        <f t="shared" si="12"/>
        <v>0.26903865282849887</v>
      </c>
    </row>
    <row r="785" spans="1:11" x14ac:dyDescent="0.35">
      <c r="A785">
        <v>784</v>
      </c>
      <c r="B785">
        <v>784</v>
      </c>
      <c r="C785">
        <v>1500</v>
      </c>
      <c r="D785" t="s">
        <v>11</v>
      </c>
      <c r="E785">
        <v>371.3125</v>
      </c>
      <c r="F785">
        <v>570.27328412952795</v>
      </c>
      <c r="G785">
        <v>-1.3366560762404899E-2</v>
      </c>
      <c r="H785">
        <v>7.2966979798762793E-2</v>
      </c>
      <c r="I785">
        <v>-0.18318643308615501</v>
      </c>
      <c r="J785">
        <v>0.854651739074206</v>
      </c>
      <c r="K785" s="6">
        <f t="shared" si="12"/>
        <v>0.20442319609951687</v>
      </c>
    </row>
    <row r="786" spans="1:11" x14ac:dyDescent="0.35">
      <c r="A786">
        <v>785</v>
      </c>
      <c r="B786">
        <v>785</v>
      </c>
      <c r="C786">
        <v>2000</v>
      </c>
      <c r="D786" t="s">
        <v>11</v>
      </c>
      <c r="E786">
        <v>391.01238390092902</v>
      </c>
      <c r="F786">
        <v>587.06332976286797</v>
      </c>
      <c r="G786">
        <v>-9.6747133896236806E-2</v>
      </c>
      <c r="H786">
        <v>6.1505224633209003E-2</v>
      </c>
      <c r="I786">
        <v>-1.5729904975259501</v>
      </c>
      <c r="J786">
        <v>0.11572101853502099</v>
      </c>
      <c r="K786" s="6">
        <f t="shared" si="12"/>
        <v>0.17231211475402886</v>
      </c>
    </row>
    <row r="787" spans="1:11" x14ac:dyDescent="0.35">
      <c r="A787">
        <v>786</v>
      </c>
      <c r="B787">
        <v>786</v>
      </c>
      <c r="C787">
        <v>2500</v>
      </c>
      <c r="D787" t="s">
        <v>11</v>
      </c>
      <c r="E787">
        <v>364.29490196078399</v>
      </c>
      <c r="F787">
        <v>533.95378059262202</v>
      </c>
      <c r="G787">
        <v>3.090654626666E-2</v>
      </c>
      <c r="H787">
        <v>5.5325215636597001E-2</v>
      </c>
      <c r="I787">
        <v>0.55863399556667304</v>
      </c>
      <c r="J787">
        <v>0.57641153399059997</v>
      </c>
      <c r="K787" s="6">
        <f t="shared" si="12"/>
        <v>0.15499829424925562</v>
      </c>
    </row>
    <row r="788" spans="1:11" x14ac:dyDescent="0.35">
      <c r="A788">
        <v>787</v>
      </c>
      <c r="B788">
        <v>787</v>
      </c>
      <c r="C788">
        <v>3000</v>
      </c>
      <c r="D788" t="s">
        <v>11</v>
      </c>
      <c r="E788">
        <v>369.20976253298198</v>
      </c>
      <c r="F788">
        <v>479.49474872666298</v>
      </c>
      <c r="G788">
        <v>-1.4824027524693299E-2</v>
      </c>
      <c r="H788">
        <v>4.98778157604386E-2</v>
      </c>
      <c r="I788">
        <v>-0.297206830304932</v>
      </c>
      <c r="J788">
        <v>0.76630860752888696</v>
      </c>
      <c r="K788" s="6">
        <f t="shared" si="12"/>
        <v>0.13973694046720839</v>
      </c>
    </row>
    <row r="789" spans="1:11" x14ac:dyDescent="0.35">
      <c r="A789">
        <v>788</v>
      </c>
      <c r="B789">
        <v>788</v>
      </c>
      <c r="C789">
        <v>3500</v>
      </c>
      <c r="D789" t="s">
        <v>11</v>
      </c>
      <c r="E789">
        <v>370.65557501459398</v>
      </c>
      <c r="F789">
        <v>552.99347479992605</v>
      </c>
      <c r="G789">
        <v>-2.49915671834576E-4</v>
      </c>
      <c r="H789">
        <v>4.6400406184001798E-2</v>
      </c>
      <c r="I789">
        <v>-5.3860664676841502E-3</v>
      </c>
      <c r="J789">
        <v>0.995702561499896</v>
      </c>
      <c r="K789" s="6">
        <f t="shared" si="12"/>
        <v>0.12999468195900668</v>
      </c>
    </row>
    <row r="790" spans="1:11" x14ac:dyDescent="0.35">
      <c r="A790">
        <v>789</v>
      </c>
      <c r="B790">
        <v>789</v>
      </c>
      <c r="C790">
        <v>4000</v>
      </c>
      <c r="D790" t="s">
        <v>11</v>
      </c>
      <c r="E790">
        <v>376.37377690802401</v>
      </c>
      <c r="F790">
        <v>512.87911252061394</v>
      </c>
      <c r="G790">
        <v>-3.8613752895876E-2</v>
      </c>
      <c r="H790">
        <v>4.2599003901985101E-2</v>
      </c>
      <c r="I790">
        <v>-0.90644731939557499</v>
      </c>
      <c r="J790">
        <v>0.36469913650045999</v>
      </c>
      <c r="K790" s="6">
        <f t="shared" si="12"/>
        <v>0.11934473034674294</v>
      </c>
    </row>
    <row r="791" spans="1:11" x14ac:dyDescent="0.35">
      <c r="A791">
        <v>790</v>
      </c>
      <c r="B791">
        <v>790</v>
      </c>
      <c r="C791">
        <v>4500</v>
      </c>
      <c r="D791" t="s">
        <v>11</v>
      </c>
      <c r="E791">
        <v>367.42934051143999</v>
      </c>
      <c r="F791">
        <v>481.44913568502102</v>
      </c>
      <c r="G791">
        <v>-2.4357953270152202E-3</v>
      </c>
      <c r="H791">
        <v>4.0178530966788403E-2</v>
      </c>
      <c r="I791">
        <v>-6.0624300301786699E-2</v>
      </c>
      <c r="J791">
        <v>0.95165842027313596</v>
      </c>
      <c r="K791" s="6">
        <f t="shared" si="12"/>
        <v>0.11256356967858989</v>
      </c>
    </row>
    <row r="792" spans="1:11" x14ac:dyDescent="0.35">
      <c r="A792">
        <v>791</v>
      </c>
      <c r="B792">
        <v>791</v>
      </c>
      <c r="C792">
        <v>5000</v>
      </c>
      <c r="D792" t="s">
        <v>11</v>
      </c>
      <c r="E792">
        <v>366.08349821923201</v>
      </c>
      <c r="F792">
        <v>478.664490153342</v>
      </c>
      <c r="G792">
        <v>-1.4885598205273499E-2</v>
      </c>
      <c r="H792">
        <v>3.7781845464076501E-2</v>
      </c>
      <c r="I792">
        <v>-0.39398811843182602</v>
      </c>
      <c r="J792">
        <v>0.69358981137937303</v>
      </c>
      <c r="K792" s="6">
        <f t="shared" si="12"/>
        <v>0.10584905152447477</v>
      </c>
    </row>
    <row r="793" spans="1:11" x14ac:dyDescent="0.35">
      <c r="A793">
        <v>792</v>
      </c>
      <c r="B793">
        <v>792</v>
      </c>
      <c r="C793">
        <v>5500</v>
      </c>
      <c r="D793" t="s">
        <v>11</v>
      </c>
      <c r="E793">
        <v>359.02190865206097</v>
      </c>
      <c r="F793">
        <v>459.190036357623</v>
      </c>
      <c r="G793">
        <v>4.7903119570949101E-2</v>
      </c>
      <c r="H793">
        <v>3.5937872608122701E-2</v>
      </c>
      <c r="I793">
        <v>1.3329425504202499</v>
      </c>
      <c r="J793">
        <v>0.182550657518706</v>
      </c>
      <c r="K793" s="6">
        <f t="shared" si="12"/>
        <v>0.10068300483082744</v>
      </c>
    </row>
    <row r="794" spans="1:11" x14ac:dyDescent="0.35">
      <c r="A794">
        <v>793</v>
      </c>
      <c r="B794">
        <v>793</v>
      </c>
      <c r="C794">
        <v>6000</v>
      </c>
      <c r="D794" t="s">
        <v>11</v>
      </c>
      <c r="E794">
        <v>368.60741476332299</v>
      </c>
      <c r="F794">
        <v>477.54636902349</v>
      </c>
      <c r="G794">
        <v>2.0793065012514E-2</v>
      </c>
      <c r="H794">
        <v>3.4786439851779601E-2</v>
      </c>
      <c r="I794">
        <v>0.59773478117078205</v>
      </c>
      <c r="J794">
        <v>0.55001691387088703</v>
      </c>
      <c r="K794" s="6">
        <f t="shared" si="12"/>
        <v>9.7457168092147967E-2</v>
      </c>
    </row>
    <row r="795" spans="1:11" x14ac:dyDescent="0.35">
      <c r="A795">
        <v>794</v>
      </c>
      <c r="B795">
        <v>794</v>
      </c>
      <c r="C795">
        <v>6500</v>
      </c>
      <c r="D795" t="s">
        <v>11</v>
      </c>
      <c r="E795">
        <v>368.78154311649001</v>
      </c>
      <c r="F795">
        <v>468.64874088680199</v>
      </c>
      <c r="G795">
        <v>2.2922037925960599E-2</v>
      </c>
      <c r="H795">
        <v>3.3271558998327601E-2</v>
      </c>
      <c r="I795">
        <v>0.68893789819445495</v>
      </c>
      <c r="J795">
        <v>0.49086234888558899</v>
      </c>
      <c r="K795" s="6">
        <f t="shared" si="12"/>
        <v>9.3213100616329633E-2</v>
      </c>
    </row>
    <row r="796" spans="1:11" x14ac:dyDescent="0.35">
      <c r="A796">
        <v>795</v>
      </c>
      <c r="B796">
        <v>795</v>
      </c>
      <c r="C796">
        <v>7000</v>
      </c>
      <c r="D796" t="s">
        <v>11</v>
      </c>
      <c r="E796">
        <v>367.152440765059</v>
      </c>
      <c r="F796">
        <v>477.88647415536701</v>
      </c>
      <c r="G796">
        <v>2.3885020066255501E-2</v>
      </c>
      <c r="H796">
        <v>3.1849806804976503E-2</v>
      </c>
      <c r="I796">
        <v>0.74992668597674095</v>
      </c>
      <c r="J796">
        <v>0.45329886116107798</v>
      </c>
      <c r="K796" s="6">
        <f t="shared" si="12"/>
        <v>8.9229940997720109E-2</v>
      </c>
    </row>
    <row r="797" spans="1:11" x14ac:dyDescent="0.35">
      <c r="A797">
        <v>796</v>
      </c>
      <c r="B797">
        <v>796</v>
      </c>
      <c r="C797">
        <v>7500</v>
      </c>
      <c r="D797" t="s">
        <v>11</v>
      </c>
      <c r="E797">
        <v>364.979678015307</v>
      </c>
      <c r="F797">
        <v>482.19880144708299</v>
      </c>
      <c r="G797">
        <v>2.6331709804193599E-2</v>
      </c>
      <c r="H797">
        <v>3.07500310761827E-2</v>
      </c>
      <c r="I797">
        <v>0.856314900591716</v>
      </c>
      <c r="J797">
        <v>0.39182362145749799</v>
      </c>
      <c r="K797" s="6">
        <f t="shared" si="12"/>
        <v>8.6148825812567317E-2</v>
      </c>
    </row>
    <row r="798" spans="1:11" x14ac:dyDescent="0.35">
      <c r="A798">
        <v>797</v>
      </c>
      <c r="B798">
        <v>797</v>
      </c>
      <c r="C798">
        <v>8000</v>
      </c>
      <c r="D798" t="s">
        <v>11</v>
      </c>
      <c r="E798">
        <v>366.60134128166902</v>
      </c>
      <c r="F798">
        <v>472.89000182576501</v>
      </c>
      <c r="G798">
        <v>2.34063248131713E-2</v>
      </c>
      <c r="H798">
        <v>2.9889059654474401E-2</v>
      </c>
      <c r="I798">
        <v>0.783106764941915</v>
      </c>
      <c r="J798">
        <v>0.433564418912045</v>
      </c>
      <c r="K798" s="6">
        <f t="shared" si="12"/>
        <v>8.3736741192080674E-2</v>
      </c>
    </row>
    <row r="799" spans="1:11" x14ac:dyDescent="0.35">
      <c r="A799">
        <v>798</v>
      </c>
      <c r="B799">
        <v>798</v>
      </c>
      <c r="C799">
        <v>8500</v>
      </c>
      <c r="D799" t="s">
        <v>11</v>
      </c>
      <c r="E799">
        <v>374.417366946779</v>
      </c>
      <c r="F799">
        <v>506.32367901458701</v>
      </c>
      <c r="G799">
        <v>-1.6351465556317099E-2</v>
      </c>
      <c r="H799">
        <v>2.9036698970887599E-2</v>
      </c>
      <c r="I799">
        <v>-0.56313100785702896</v>
      </c>
      <c r="J799">
        <v>0.57334567827380301</v>
      </c>
      <c r="K799" s="6">
        <f t="shared" si="12"/>
        <v>8.1348780286354144E-2</v>
      </c>
    </row>
    <row r="800" spans="1:11" x14ac:dyDescent="0.35">
      <c r="A800">
        <v>799</v>
      </c>
      <c r="B800">
        <v>799</v>
      </c>
      <c r="C800">
        <v>9000</v>
      </c>
      <c r="D800" t="s">
        <v>11</v>
      </c>
      <c r="E800">
        <v>366.79855167873598</v>
      </c>
      <c r="F800">
        <v>473.93622555047898</v>
      </c>
      <c r="G800">
        <v>1.3753685195323301E-2</v>
      </c>
      <c r="H800">
        <v>2.8177964254210701E-2</v>
      </c>
      <c r="I800">
        <v>0.488100739685908</v>
      </c>
      <c r="J800">
        <v>0.62547848717960797</v>
      </c>
      <c r="K800" s="6">
        <f t="shared" si="12"/>
        <v>7.8942961985132898E-2</v>
      </c>
    </row>
    <row r="801" spans="1:11" x14ac:dyDescent="0.35">
      <c r="A801">
        <v>800</v>
      </c>
      <c r="B801">
        <v>800</v>
      </c>
      <c r="C801">
        <v>9500</v>
      </c>
      <c r="D801" t="s">
        <v>11</v>
      </c>
      <c r="E801">
        <v>365.04527352756202</v>
      </c>
      <c r="F801">
        <v>493.74396521979702</v>
      </c>
      <c r="G801">
        <v>4.0339686119667904E-3</v>
      </c>
      <c r="H801">
        <v>2.7372053327469201E-2</v>
      </c>
      <c r="I801">
        <v>0.14737544764018501</v>
      </c>
      <c r="J801">
        <v>0.88283568384507904</v>
      </c>
      <c r="K801" s="6">
        <f t="shared" si="12"/>
        <v>7.6685134021437812E-2</v>
      </c>
    </row>
    <row r="802" spans="1:11" x14ac:dyDescent="0.35">
      <c r="A802">
        <v>801</v>
      </c>
      <c r="B802">
        <v>801</v>
      </c>
      <c r="C802">
        <v>10000</v>
      </c>
      <c r="D802" t="s">
        <v>11</v>
      </c>
      <c r="E802">
        <v>367.08556782334398</v>
      </c>
      <c r="F802">
        <v>478.25476801004999</v>
      </c>
      <c r="G802">
        <v>-1.2629839997744601E-2</v>
      </c>
      <c r="H802">
        <v>2.6808880534570301E-2</v>
      </c>
      <c r="I802">
        <v>-0.471106579085176</v>
      </c>
      <c r="J802">
        <v>0.63756462713501405</v>
      </c>
      <c r="K802" s="13">
        <f t="shared" si="12"/>
        <v>7.5107357572444147E-2</v>
      </c>
    </row>
    <row r="803" spans="1:11" x14ac:dyDescent="0.35">
      <c r="A803">
        <v>802</v>
      </c>
      <c r="B803">
        <v>802</v>
      </c>
      <c r="C803">
        <v>10500</v>
      </c>
      <c r="D803" t="s">
        <v>11</v>
      </c>
      <c r="E803">
        <v>368.644185609619</v>
      </c>
      <c r="F803">
        <v>510.618963669869</v>
      </c>
      <c r="G803">
        <v>-2.0684847858782499E-2</v>
      </c>
      <c r="H803">
        <v>2.5957511720354098E-2</v>
      </c>
      <c r="I803">
        <v>-0.79687329362016002</v>
      </c>
      <c r="J803">
        <v>0.42552462263977597</v>
      </c>
      <c r="K803" s="13">
        <f t="shared" si="12"/>
        <v>7.2722175473068237E-2</v>
      </c>
    </row>
    <row r="804" spans="1:11" x14ac:dyDescent="0.35">
      <c r="A804">
        <v>803</v>
      </c>
      <c r="B804">
        <v>803</v>
      </c>
      <c r="C804">
        <v>11000</v>
      </c>
      <c r="D804" t="s">
        <v>11</v>
      </c>
      <c r="E804">
        <v>370.82951653944002</v>
      </c>
      <c r="F804">
        <v>492.97324498048602</v>
      </c>
      <c r="G804">
        <v>-2.76759777242922E-2</v>
      </c>
      <c r="H804">
        <v>2.52818891639842E-2</v>
      </c>
      <c r="I804">
        <v>-1.0946957936877</v>
      </c>
      <c r="J804">
        <v>0.27364993202863802</v>
      </c>
      <c r="K804" s="13">
        <f t="shared" si="12"/>
        <v>7.0829361453480677E-2</v>
      </c>
    </row>
    <row r="805" spans="1:11" x14ac:dyDescent="0.35">
      <c r="A805">
        <v>804</v>
      </c>
      <c r="B805">
        <v>804</v>
      </c>
      <c r="C805">
        <v>11500</v>
      </c>
      <c r="D805" t="s">
        <v>11</v>
      </c>
      <c r="E805">
        <v>367.37558603924299</v>
      </c>
      <c r="F805">
        <v>493.69583735399902</v>
      </c>
      <c r="G805">
        <v>-1.8063023689331599E-3</v>
      </c>
      <c r="H805">
        <v>2.46261136925277E-2</v>
      </c>
      <c r="I805">
        <v>-7.3349063172775106E-2</v>
      </c>
      <c r="J805">
        <v>0.94152835004826996</v>
      </c>
      <c r="K805" s="13">
        <f t="shared" si="12"/>
        <v>6.8992150729280222E-2</v>
      </c>
    </row>
    <row r="806" spans="1:11" x14ac:dyDescent="0.35">
      <c r="A806">
        <v>805</v>
      </c>
      <c r="B806">
        <v>805</v>
      </c>
      <c r="C806">
        <v>12000</v>
      </c>
      <c r="D806" t="s">
        <v>11</v>
      </c>
      <c r="E806">
        <v>365.55590682196299</v>
      </c>
      <c r="F806">
        <v>489.85148046102</v>
      </c>
      <c r="G806">
        <v>1.59498683778906E-2</v>
      </c>
      <c r="H806">
        <v>2.4187273850975501E-2</v>
      </c>
      <c r="I806">
        <v>0.65943224838657399</v>
      </c>
      <c r="J806">
        <v>0.509618239478561</v>
      </c>
      <c r="K806" s="13">
        <f t="shared" si="12"/>
        <v>6.7762703611785199E-2</v>
      </c>
    </row>
    <row r="807" spans="1:11" x14ac:dyDescent="0.35">
      <c r="A807">
        <v>806</v>
      </c>
      <c r="B807">
        <v>806</v>
      </c>
      <c r="C807">
        <v>12500</v>
      </c>
      <c r="D807" t="s">
        <v>11</v>
      </c>
      <c r="E807">
        <v>373.44355098102301</v>
      </c>
      <c r="F807">
        <v>511.88141374874903</v>
      </c>
      <c r="G807">
        <v>-2.1897858430159699E-2</v>
      </c>
      <c r="H807">
        <v>2.3918375756513E-2</v>
      </c>
      <c r="I807">
        <v>-0.91552447595430597</v>
      </c>
      <c r="J807">
        <v>0.359916359215538</v>
      </c>
      <c r="K807" s="13">
        <f t="shared" si="12"/>
        <v>6.7009362743810474E-2</v>
      </c>
    </row>
    <row r="808" spans="1:11" x14ac:dyDescent="0.35">
      <c r="A808">
        <v>807</v>
      </c>
      <c r="B808">
        <v>807</v>
      </c>
      <c r="C808">
        <v>13000</v>
      </c>
      <c r="D808" t="s">
        <v>11</v>
      </c>
      <c r="E808">
        <v>366.22993154947102</v>
      </c>
      <c r="F808">
        <v>508.69992453254099</v>
      </c>
      <c r="G808">
        <v>2.28775792580076E-2</v>
      </c>
      <c r="H808">
        <v>2.34527266448319E-2</v>
      </c>
      <c r="I808">
        <v>0.97547631047193895</v>
      </c>
      <c r="J808">
        <v>0.32932404699123202</v>
      </c>
      <c r="K808" s="13">
        <f t="shared" si="12"/>
        <v>6.5704807177261376E-2</v>
      </c>
    </row>
    <row r="809" spans="1:11" x14ac:dyDescent="0.35">
      <c r="A809">
        <v>808</v>
      </c>
      <c r="B809">
        <v>808</v>
      </c>
      <c r="C809">
        <v>13500</v>
      </c>
      <c r="D809" t="s">
        <v>11</v>
      </c>
      <c r="E809">
        <v>367.723761042072</v>
      </c>
      <c r="F809">
        <v>486.31247424104203</v>
      </c>
      <c r="G809">
        <v>1.51877071157107E-2</v>
      </c>
      <c r="H809">
        <v>2.2887452656544599E-2</v>
      </c>
      <c r="I809">
        <v>0.66358224061111604</v>
      </c>
      <c r="J809">
        <v>0.50695772694201502</v>
      </c>
      <c r="K809" s="13">
        <f t="shared" si="12"/>
        <v>6.4121144050785506E-2</v>
      </c>
    </row>
    <row r="810" spans="1:11" x14ac:dyDescent="0.35">
      <c r="A810">
        <v>809</v>
      </c>
      <c r="B810">
        <v>809</v>
      </c>
      <c r="C810">
        <v>14000</v>
      </c>
      <c r="D810" t="s">
        <v>11</v>
      </c>
      <c r="E810">
        <v>384.141241299304</v>
      </c>
      <c r="F810">
        <v>521.55190028322795</v>
      </c>
      <c r="G810">
        <v>-6.7129711024010594E-2</v>
      </c>
      <c r="H810">
        <v>2.2525670771457802E-2</v>
      </c>
      <c r="I810">
        <v>-2.9801425984202199</v>
      </c>
      <c r="J810">
        <v>2.8811422807258498E-3</v>
      </c>
      <c r="K810" s="14">
        <f t="shared" si="12"/>
        <v>6.3107581348254616E-2</v>
      </c>
    </row>
    <row r="811" spans="1:11" x14ac:dyDescent="0.35">
      <c r="A811">
        <v>810</v>
      </c>
      <c r="B811">
        <v>810</v>
      </c>
      <c r="C811">
        <v>1000</v>
      </c>
      <c r="D811" t="s">
        <v>11</v>
      </c>
      <c r="E811">
        <v>355.69291338582701</v>
      </c>
      <c r="F811">
        <v>594.93647431502404</v>
      </c>
      <c r="G811">
        <v>6.79524453288472E-2</v>
      </c>
      <c r="H811">
        <v>9.6401946734058705E-2</v>
      </c>
      <c r="I811">
        <v>0.70488665043565701</v>
      </c>
      <c r="J811">
        <v>0.48088077847052102</v>
      </c>
      <c r="K811" s="13">
        <f t="shared" si="12"/>
        <v>0.27007824794093788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++Output++</vt:lpstr>
      <vt:lpstr>Analysis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Oli Berry</cp:lastModifiedBy>
  <dcterms:created xsi:type="dcterms:W3CDTF">2023-02-13T14:13:41Z</dcterms:created>
  <dcterms:modified xsi:type="dcterms:W3CDTF">2023-02-13T17:01:44Z</dcterms:modified>
</cp:coreProperties>
</file>